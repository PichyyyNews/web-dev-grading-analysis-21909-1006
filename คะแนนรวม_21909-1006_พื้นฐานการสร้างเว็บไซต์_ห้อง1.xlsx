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ตารางคะแนนรวม (เก็บ-กลาง-ปลาย)" sheetId="1" state="visible" r:id="rId1"/>
    <sheet xmlns:r="http://schemas.openxmlformats.org/officeDocument/2006/relationships" name="คะแนนเก็บแบบฝึกหัด (แจกแจง)" sheetId="2" state="visible" r:id="rId2"/>
    <sheet xmlns:r="http://schemas.openxmlformats.org/officeDocument/2006/relationships" name="ตรวจปลายภาคละเอียด (30 ข้อ)" sheetId="3" state="visible" r:id="rId3"/>
    <sheet xmlns:r="http://schemas.openxmlformats.org/officeDocument/2006/relationships" name="เฉลยและเกณฑ์การให้คะแน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3">
    <font>
      <name val="Calibri"/>
      <family val="2"/>
      <color theme="1"/>
      <sz val="11"/>
      <scheme val="minor"/>
    </font>
    <font>
      <name val="Leelawadee UI"/>
      <b val="1"/>
      <color rgb="000D47A1"/>
      <sz val="15"/>
    </font>
    <font>
      <name val="Leelawadee UI"/>
      <color rgb="00546E7A"/>
      <sz val="11"/>
    </font>
    <font>
      <name val="Leelawadee UI"/>
      <b val="1"/>
      <color rgb="00FFFFFF"/>
      <sz val="11"/>
    </font>
    <font>
      <name val="Leelawadee UI"/>
      <b val="1"/>
      <color rgb="001A202C"/>
      <sz val="10"/>
    </font>
    <font>
      <name val="Leelawadee UI"/>
      <color rgb="002D3748"/>
      <sz val="10"/>
    </font>
    <font>
      <name val="Leelawadee UI"/>
      <b val="1"/>
      <color rgb="001B5E20"/>
      <sz val="10"/>
    </font>
    <font>
      <name val="Leelawadee UI"/>
      <b val="1"/>
      <color rgb="004A148C"/>
      <sz val="10"/>
    </font>
    <font>
      <name val="Leelawadee UI"/>
      <color rgb="002E7D32"/>
      <sz val="10"/>
    </font>
    <font>
      <name val="Leelawadee UI"/>
      <b val="1"/>
      <color rgb="00C62828"/>
      <sz val="10"/>
    </font>
    <font>
      <name val="Leelawadee UI"/>
      <color rgb="00C62828"/>
      <sz val="10"/>
    </font>
    <font>
      <name val="Leelawadee UI"/>
      <b val="1"/>
      <color rgb="001A365D"/>
      <sz val="10"/>
    </font>
    <font>
      <name val="Leelawadee UI"/>
      <b val="1"/>
      <color rgb="00FFFFFF"/>
      <sz val="10"/>
    </font>
    <font>
      <name val="Leelawadee UI"/>
      <b val="1"/>
      <color rgb="001B365D"/>
      <sz val="14"/>
    </font>
    <font>
      <name val="Leelawadee UI"/>
      <color rgb="004A6572"/>
      <sz val="11"/>
    </font>
    <font>
      <name val="Leelawadee UI"/>
      <b val="1"/>
      <color rgb="001B365D"/>
      <sz val="10"/>
    </font>
    <font>
      <name val="Calibri"/>
      <color theme="1"/>
      <sz val="11"/>
    </font>
    <font>
      <name val="Leelawadee UI"/>
      <b val="1"/>
      <color rgb="00000000"/>
      <sz val="10"/>
    </font>
    <font>
      <name val="Leelawadee UI"/>
      <b val="1"/>
      <color rgb="00805300"/>
      <sz val="10"/>
    </font>
    <font>
      <name val="Leelawadee UI"/>
      <color rgb="00000000"/>
      <sz val="10"/>
    </font>
    <font>
      <name val="Leelawadee UI"/>
      <b val="1"/>
      <color rgb="00276A3C"/>
      <sz val="10"/>
    </font>
    <font>
      <name val="Leelawadee UI"/>
      <color rgb="008A3B14"/>
      <sz val="10"/>
    </font>
    <font>
      <name val="Leelawadee UI"/>
      <b val="1"/>
      <color rgb="009C0006"/>
      <sz val="10"/>
    </font>
  </fonts>
  <fills count="25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00695C"/>
      </patternFill>
    </fill>
    <fill>
      <patternFill patternType="solid">
        <fgColor rgb="0037474F"/>
      </patternFill>
    </fill>
    <fill>
      <patternFill patternType="solid">
        <fgColor rgb="001565C0"/>
      </patternFill>
    </fill>
    <fill>
      <patternFill patternType="solid">
        <fgColor rgb="004A148C"/>
      </patternFill>
    </fill>
    <fill>
      <patternFill patternType="solid">
        <fgColor rgb="00F1F5F9"/>
      </patternFill>
    </fill>
    <fill>
      <patternFill patternType="solid">
        <fgColor rgb="00E0F2FE"/>
      </patternFill>
    </fill>
    <fill>
      <patternFill patternType="solid">
        <fgColor rgb="00FFFFFF"/>
      </patternFill>
    </fill>
    <fill>
      <patternFill patternType="solid">
        <fgColor rgb="00E0F2F1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F3E5F5"/>
      </patternFill>
    </fill>
    <fill>
      <patternFill patternType="solid">
        <fgColor rgb="00F8FAFC"/>
      </patternFill>
    </fill>
    <fill>
      <patternFill patternType="solid">
        <fgColor rgb="00FFEBEE"/>
      </patternFill>
    </fill>
    <fill>
      <patternFill patternType="solid">
        <fgColor rgb="00E2E8F0"/>
      </patternFill>
    </fill>
    <fill>
      <patternFill patternType="solid">
        <fgColor rgb="00D9E1F2"/>
      </patternFill>
    </fill>
    <fill>
      <patternFill patternType="solid">
        <fgColor rgb="00D6DCE5"/>
      </patternFill>
    </fill>
    <fill>
      <patternFill patternType="solid">
        <fgColor rgb="001B365D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9FAFB"/>
      </patternFill>
    </fill>
    <fill>
      <patternFill patternType="solid">
        <fgColor rgb="00EAEEF3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 style="thin">
        <color rgb="00CBD5E1"/>
      </right>
      <top/>
      <bottom style="thin">
        <color rgb="00CBD5E1"/>
      </bottom>
      <diagonal/>
    </border>
    <border>
      <left/>
      <right style="thin">
        <color rgb="00CBD5E1"/>
      </right>
      <top/>
      <bottom/>
      <diagonal/>
    </border>
    <border>
      <left/>
      <right/>
      <top/>
      <bottom style="thin">
        <color rgb="00CBD5E1"/>
      </bottom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A365D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0" fillId="2" borderId="1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right" vertical="center"/>
    </xf>
    <xf numFmtId="0" fontId="5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/>
    </xf>
    <xf numFmtId="1" fontId="5" fillId="9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" fontId="6" fillId="11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7" fillId="13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5" fillId="14" borderId="1" applyAlignment="1" pivotButton="0" quotePrefix="0" xfId="0">
      <alignment horizontal="center" vertical="center"/>
    </xf>
    <xf numFmtId="0" fontId="5" fillId="14" borderId="1" applyAlignment="1" pivotButton="0" quotePrefix="0" xfId="0">
      <alignment horizontal="left" vertical="center"/>
    </xf>
    <xf numFmtId="1" fontId="5" fillId="14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8" fillId="14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164" fontId="6" fillId="11" borderId="1" applyAlignment="1" pivotButton="0" quotePrefix="0" xfId="0">
      <alignment horizontal="center" vertical="center"/>
    </xf>
    <xf numFmtId="0" fontId="10" fillId="15" borderId="1" applyAlignment="1" pivotButton="0" quotePrefix="0" xfId="0">
      <alignment horizontal="center" vertical="center"/>
    </xf>
    <xf numFmtId="0" fontId="9" fillId="14" borderId="1" applyAlignment="1" pivotButton="0" quotePrefix="0" xfId="0">
      <alignment horizontal="center" vertical="center"/>
    </xf>
    <xf numFmtId="0" fontId="11" fillId="16" borderId="1" applyAlignment="1" pivotButton="0" quotePrefix="0" xfId="0">
      <alignment horizontal="right" vertical="center"/>
    </xf>
    <xf numFmtId="0" fontId="0" fillId="16" borderId="1" pivotButton="0" quotePrefix="0" xfId="0"/>
    <xf numFmtId="0" fontId="4" fillId="16" borderId="1" applyAlignment="1" pivotButton="0" quotePrefix="0" xfId="0">
      <alignment horizontal="center" vertical="center"/>
    </xf>
    <xf numFmtId="0" fontId="11" fillId="16" borderId="5" applyAlignment="1" pivotButton="0" quotePrefix="0" xfId="0">
      <alignment horizontal="right" vertical="center"/>
    </xf>
    <xf numFmtId="0" fontId="0" fillId="16" borderId="5" pivotButton="0" quotePrefix="0" xfId="0"/>
    <xf numFmtId="0" fontId="4" fillId="16" borderId="5" applyAlignment="1" pivotButton="0" quotePrefix="0" xfId="0">
      <alignment horizontal="center" vertical="center"/>
    </xf>
    <xf numFmtId="0" fontId="12" fillId="3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right" vertical="center"/>
    </xf>
    <xf numFmtId="0" fontId="13" fillId="0" borderId="1" pivotButton="0" quotePrefix="0" xfId="0"/>
    <xf numFmtId="0" fontId="14" fillId="0" borderId="1" pivotButton="0" quotePrefix="0" xfId="0"/>
    <xf numFmtId="0" fontId="15" fillId="17" borderId="1" applyAlignment="1" pivotButton="0" quotePrefix="0" xfId="0">
      <alignment horizontal="center" vertical="center" wrapText="1"/>
    </xf>
    <xf numFmtId="0" fontId="16" fillId="0" borderId="1" pivotButton="0" quotePrefix="0" xfId="0"/>
    <xf numFmtId="0" fontId="15" fillId="18" borderId="1" applyAlignment="1" pivotButton="0" quotePrefix="0" xfId="0">
      <alignment horizontal="center" vertical="center" wrapText="1"/>
    </xf>
    <xf numFmtId="0" fontId="12" fillId="19" borderId="1" applyAlignment="1" pivotButton="0" quotePrefix="0" xfId="0">
      <alignment horizontal="center" vertical="center" wrapText="1"/>
    </xf>
    <xf numFmtId="0" fontId="17" fillId="20" borderId="1" applyAlignment="1" pivotButton="0" quotePrefix="0" xfId="0">
      <alignment horizontal="center" vertical="center" wrapText="1"/>
    </xf>
    <xf numFmtId="0" fontId="17" fillId="20" borderId="1" applyAlignment="1" pivotButton="0" quotePrefix="0" xfId="0">
      <alignment horizontal="left" vertical="center"/>
    </xf>
    <xf numFmtId="0" fontId="18" fillId="20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left" vertical="center"/>
    </xf>
    <xf numFmtId="0" fontId="20" fillId="21" borderId="1" applyAlignment="1" pivotButton="0" quotePrefix="0" xfId="0">
      <alignment horizontal="center" vertical="center" wrapText="1"/>
    </xf>
    <xf numFmtId="0" fontId="21" fillId="22" borderId="1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center" vertical="center" wrapText="1"/>
    </xf>
    <xf numFmtId="0" fontId="22" fillId="23" borderId="1" applyAlignment="1" pivotButton="0" quotePrefix="0" xfId="0">
      <alignment horizontal="center" vertical="center" wrapText="1"/>
    </xf>
    <xf numFmtId="0" fontId="15" fillId="24" borderId="1" applyAlignment="1" pivotButton="0" quotePrefix="0" xfId="0">
      <alignment horizontal="center" vertical="center" wrapText="1"/>
    </xf>
    <xf numFmtId="0" fontId="15" fillId="24" borderId="1" applyAlignment="1" pivotButton="0" quotePrefix="0" xfId="0">
      <alignment horizontal="right" vertical="center"/>
    </xf>
    <xf numFmtId="0" fontId="16" fillId="23" borderId="1" applyAlignment="1" pivotButton="0" quotePrefix="0" xfId="0">
      <alignment horizontal="center" vertical="center" wrapText="1"/>
    </xf>
    <xf numFmtId="0" fontId="16" fillId="23" borderId="1" applyAlignment="1" pivotButton="0" quotePrefix="0" xfId="0">
      <alignment horizontal="left" vertical="center"/>
    </xf>
    <xf numFmtId="0" fontId="16" fillId="0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8"/>
  <sheetViews>
    <sheetView showGridLines="1"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9" customWidth="1" min="3" max="3"/>
    <col width="26" customWidth="1" min="4" max="4"/>
    <col width="12" customWidth="1" min="5" max="5"/>
    <col width="12" customWidth="1" min="6" max="6"/>
    <col width="12" customWidth="1" min="7" max="7"/>
    <col width="12" customWidth="1" min="8" max="8"/>
    <col width="13" customWidth="1" min="9" max="9"/>
    <col width="12" customWidth="1" min="10" max="10"/>
    <col width="12" customWidth="1" min="11" max="11"/>
    <col width="12" customWidth="1" min="12" max="12"/>
    <col width="13" customWidth="1" min="13" max="13"/>
    <col width="11" customWidth="1" min="14" max="14"/>
    <col width="14" customWidth="1" min="15" max="15"/>
    <col width="11" customWidth="1" min="16" max="16"/>
    <col width="11" customWidth="1" min="17" max="17"/>
    <col width="12" customWidth="1" min="18" max="18"/>
    <col width="12" customWidth="1" min="19" max="19"/>
    <col width="13" customWidth="1" min="20" max="20"/>
    <col width="14" customWidth="1" min="21" max="21"/>
    <col width="15" customWidth="1" min="22" max="22"/>
    <col width="16" customWidth="1" min="23" max="23"/>
    <col width="11" customWidth="1" min="24" max="24"/>
    <col width="16" customWidth="1" min="25" max="25"/>
  </cols>
  <sheetData>
    <row r="1">
      <c r="A1" s="1" t="inlineStr">
        <is>
          <t>📊 แบบบันทึกคะแนนผลการเรียนรู้ครบวงจร (คะแนนเก็บ + กลางภาค + ปลายภาค) - ห้อง 1</t>
        </is>
      </c>
      <c r="D1" s="2" t="n"/>
    </row>
    <row r="2">
      <c r="A2" s="3" t="inlineStr">
        <is>
          <t>รหัสวิชา 21909-1006 พื้นฐานการสร้างเว็บไซต์  |  ระดับชั้น ปวช. 1 ชทค. ห้อง 1 (จำนวนนักเรียน 18 คน)  |  ภาคเรียนที่ 1 ปีการศึกษา 2569</t>
        </is>
      </c>
      <c r="D2" s="2" t="n"/>
    </row>
    <row r="3">
      <c r="D3" s="2" t="n"/>
    </row>
    <row r="4" ht="28" customHeight="1">
      <c r="A4" s="4" t="inlineStr">
        <is>
          <t>ข้อมูลนักศึกษา</t>
        </is>
      </c>
      <c r="D4" s="2" t="n"/>
      <c r="E4" s="4" t="inlineStr">
        <is>
          <t>คะแนนเก็บแบบฝึกหัด (Coursework 100 คะแนน)</t>
        </is>
      </c>
      <c r="P4" s="4" t="inlineStr">
        <is>
          <t>คะแนนสอบกลางภาค (Midterm)</t>
        </is>
      </c>
      <c r="S4" s="4" t="inlineStr">
        <is>
          <t>คะแนนสอบปลายภาค (Final Examination)</t>
        </is>
      </c>
      <c r="V4" s="4" t="inlineStr">
        <is>
          <t>สรุปผลคะแนนรวมทั้งภาคเรียน</t>
        </is>
      </c>
    </row>
    <row r="5" ht="36" customHeight="1">
      <c r="A5" s="5" t="inlineStr">
        <is>
          <t>เลขที่</t>
        </is>
      </c>
      <c r="B5" s="5" t="inlineStr">
        <is>
          <t>รหัสนักศึกษา</t>
        </is>
      </c>
      <c r="C5" s="5" t="inlineStr">
        <is>
          <t>รหัส
(3 ตัว)</t>
        </is>
      </c>
      <c r="D5" s="5" t="inlineStr">
        <is>
          <t>ชื่อ - นามสกุล</t>
        </is>
      </c>
      <c r="E5" s="5" t="inlineStr">
        <is>
          <t>แบบฝึกหัดที่ 1
แนะนำตัวเอง (10)</t>
        </is>
      </c>
      <c r="F5" s="5" t="inlineStr">
        <is>
          <t>แบบฝึกหัดที่ 2
ใบงาน (10)</t>
        </is>
      </c>
      <c r="G5" s="5" t="inlineStr">
        <is>
          <t>แบบฝึกหัดที่ 3
CSS 3 รูปแบบ (10)</t>
        </is>
      </c>
      <c r="H5" s="5" t="inlineStr">
        <is>
          <t>แบบฝึกหัดที่ 4
colspan+rowspan (10)</t>
        </is>
      </c>
      <c r="I5" s="5" t="inlineStr">
        <is>
          <t>แบบฝึกหัดที่ 5
Form สมัครสมาชิก (10)</t>
        </is>
      </c>
      <c r="J5" s="5" t="inlineStr">
        <is>
          <t>แบบฝึกหัดที่ 6
Box Model (10)</t>
        </is>
      </c>
      <c r="K5" s="5" t="inlineStr">
        <is>
          <t>แบบฝึกหัดที่ 7
Flexbox Layout (10)</t>
        </is>
      </c>
      <c r="L5" s="5" t="inlineStr">
        <is>
          <t>แบบฝึกหัดที่ 8
Grid Layout (10)</t>
        </is>
      </c>
      <c r="M5" s="5" t="inlineStr">
        <is>
          <t>โปรเจคเว็บ
Figma Design (10)</t>
        </is>
      </c>
      <c r="N5" s="5" t="inlineStr">
        <is>
          <t>งานกลุ่ม
(10)</t>
        </is>
      </c>
      <c r="O5" s="5" t="inlineStr">
        <is>
          <t>รวมคะแนนเก็บ
(เต็ม 100)</t>
        </is>
      </c>
      <c r="P5" s="5" t="inlineStr">
        <is>
          <t>ข้อกา
(ปรนัย)</t>
        </is>
      </c>
      <c r="Q5" s="5" t="inlineStr">
        <is>
          <t>ข้อเขียน
(อัตนัย)</t>
        </is>
      </c>
      <c r="R5" s="5" t="inlineStr">
        <is>
          <t>รวม
กลางภาค</t>
        </is>
      </c>
      <c r="S5" s="5" t="inlineStr">
        <is>
          <t>ข้อกา (30)
(ปรนัย)</t>
        </is>
      </c>
      <c r="T5" s="5" t="inlineStr">
        <is>
          <t>ข้อเขียน (20)
(อัตนัย)</t>
        </is>
      </c>
      <c r="U5" s="5" t="inlineStr">
        <is>
          <t>รวมปลายภาค
(เต็ม 50)</t>
        </is>
      </c>
      <c r="V5" s="5" t="inlineStr">
        <is>
          <t>รวมคะแนนสอบ
(กลาง+ปลาย)</t>
        </is>
      </c>
      <c r="W5" s="5" t="inlineStr">
        <is>
          <t>รวมคะแนนสุทธิ
(เก็บ+สอบ)</t>
        </is>
      </c>
      <c r="X5" s="5" t="inlineStr">
        <is>
          <t>ลำดับที่
(Rank)</t>
        </is>
      </c>
      <c r="Y5" s="5" t="inlineStr">
        <is>
          <t>สถานะ / หมายเหตุ</t>
        </is>
      </c>
    </row>
    <row r="6" ht="24" customHeight="1">
      <c r="A6" s="6" t="n"/>
      <c r="B6" s="6" t="n"/>
      <c r="C6" s="6" t="n"/>
      <c r="D6" s="7" t="inlineStr">
        <is>
          <t>คะแนนเต็ม</t>
        </is>
      </c>
      <c r="E6" s="6" t="n">
        <v>10</v>
      </c>
      <c r="F6" s="6" t="n">
        <v>10</v>
      </c>
      <c r="G6" s="6" t="n">
        <v>10</v>
      </c>
      <c r="H6" s="6" t="n">
        <v>10</v>
      </c>
      <c r="I6" s="6" t="n">
        <v>10</v>
      </c>
      <c r="J6" s="6" t="n">
        <v>10</v>
      </c>
      <c r="K6" s="6" t="n">
        <v>10</v>
      </c>
      <c r="L6" s="6" t="n">
        <v>10</v>
      </c>
      <c r="M6" s="6" t="n">
        <v>10</v>
      </c>
      <c r="N6" s="6" t="n">
        <v>10</v>
      </c>
      <c r="O6" s="6" t="n">
        <v>100</v>
      </c>
      <c r="P6" s="6" t="inlineStr">
        <is>
          <t>-</t>
        </is>
      </c>
      <c r="Q6" s="6" t="inlineStr">
        <is>
          <t>-</t>
        </is>
      </c>
      <c r="R6" s="6" t="inlineStr">
        <is>
          <t>-</t>
        </is>
      </c>
      <c r="S6" s="6" t="n">
        <v>30</v>
      </c>
      <c r="T6" s="6" t="n">
        <v>20</v>
      </c>
      <c r="U6" s="6" t="n">
        <v>50</v>
      </c>
      <c r="V6" s="6" t="inlineStr">
        <is>
          <t>-</t>
        </is>
      </c>
      <c r="W6" s="6" t="inlineStr">
        <is>
          <t>-</t>
        </is>
      </c>
      <c r="X6" s="6" t="inlineStr">
        <is>
          <t>-</t>
        </is>
      </c>
      <c r="Y6" s="6" t="inlineStr">
        <is>
          <t>-</t>
        </is>
      </c>
    </row>
    <row r="7" ht="22" customHeight="1">
      <c r="A7" s="8" t="n">
        <v>1</v>
      </c>
      <c r="B7" s="8" t="inlineStr">
        <is>
          <t>69219090001</t>
        </is>
      </c>
      <c r="C7" s="8" t="inlineStr">
        <is>
          <t>001</t>
        </is>
      </c>
      <c r="D7" s="9" t="inlineStr">
        <is>
          <t>นายกฤศมน บุญเปี่ยม</t>
        </is>
      </c>
      <c r="E7" s="10" t="n">
        <v>7</v>
      </c>
      <c r="F7" s="10" t="n">
        <v>9</v>
      </c>
      <c r="G7" s="8" t="n"/>
      <c r="H7" s="10" t="n">
        <v>10</v>
      </c>
      <c r="I7" s="8" t="n"/>
      <c r="J7" s="10" t="n">
        <v>10</v>
      </c>
      <c r="K7" s="10" t="n">
        <v>10</v>
      </c>
      <c r="L7" s="10" t="n">
        <v>10</v>
      </c>
      <c r="M7" s="10" t="n">
        <v>10</v>
      </c>
      <c r="N7" s="8" t="n"/>
      <c r="O7" s="11">
        <f>IF(COUNT(E7:N7)&gt;0, SUM(E7:N7), "-")</f>
        <v/>
      </c>
      <c r="P7" s="8" t="n">
        <v>20</v>
      </c>
      <c r="Q7" s="8" t="n">
        <v>3</v>
      </c>
      <c r="R7" s="12">
        <f>IF(COUNT(P7:Q7)&gt;0, SUM(P7:Q7), "-")</f>
        <v/>
      </c>
      <c r="S7" s="8" t="n">
        <v>20</v>
      </c>
      <c r="T7" s="13" t="n">
        <v>4</v>
      </c>
      <c r="U7" s="14">
        <f>IF(COUNT(S7:T7)&gt;0, SUM(S7:T7), "-")</f>
        <v/>
      </c>
      <c r="V7" s="12">
        <f>IF(OR(ISNUMBER(R7), ISNUMBER(U7)), IF(ISNUMBER(R7), R7, 0) + IF(ISNUMBER(U7), U7, 0), "-")</f>
        <v/>
      </c>
      <c r="W7" s="15">
        <f>IF(OR(ISNUMBER(O7), ISNUMBER(V7)), IF(ISNUMBER(O7), O7, 0) + IF(ISNUMBER(V7), V7, 0), "-")</f>
        <v/>
      </c>
      <c r="X7" s="12">
        <f>IF(ISNUMBER(W7), RANK(W7, $W$7:$W$24), "-")</f>
        <v/>
      </c>
      <c r="Y7" s="16" t="inlineStr">
        <is>
          <t>เข้าสอบปกติ</t>
        </is>
      </c>
    </row>
    <row r="8" ht="22" customHeight="1">
      <c r="A8" s="17" t="n">
        <v>2</v>
      </c>
      <c r="B8" s="17" t="inlineStr">
        <is>
          <t>69219090002</t>
        </is>
      </c>
      <c r="C8" s="17" t="inlineStr">
        <is>
          <t>002</t>
        </is>
      </c>
      <c r="D8" s="18" t="inlineStr">
        <is>
          <t>เด็กชายกษธณชล การรักเรียน</t>
        </is>
      </c>
      <c r="E8" s="19" t="n">
        <v>8</v>
      </c>
      <c r="F8" s="19" t="n">
        <v>10</v>
      </c>
      <c r="G8" s="17" t="n"/>
      <c r="H8" s="19" t="n">
        <v>10</v>
      </c>
      <c r="I8" s="17" t="n"/>
      <c r="J8" s="19" t="n">
        <v>10</v>
      </c>
      <c r="K8" s="17" t="n"/>
      <c r="L8" s="19" t="n">
        <v>10</v>
      </c>
      <c r="M8" s="19" t="n">
        <v>10</v>
      </c>
      <c r="N8" s="17" t="n"/>
      <c r="O8" s="11">
        <f>IF(COUNT(E8:N8)&gt;0, SUM(E8:N8), "-")</f>
        <v/>
      </c>
      <c r="P8" s="17" t="n">
        <v>9</v>
      </c>
      <c r="Q8" s="17" t="n">
        <v>2</v>
      </c>
      <c r="R8" s="20">
        <f>IF(COUNT(P8:Q8)&gt;0, SUM(P8:Q8), "-")</f>
        <v/>
      </c>
      <c r="S8" s="17" t="n">
        <v>14</v>
      </c>
      <c r="T8" s="13" t="n">
        <v>4</v>
      </c>
      <c r="U8" s="14">
        <f>IF(COUNT(S8:T8)&gt;0, SUM(S8:T8), "-")</f>
        <v/>
      </c>
      <c r="V8" s="20">
        <f>IF(OR(ISNUMBER(R8), ISNUMBER(U8)), IF(ISNUMBER(R8), R8, 0) + IF(ISNUMBER(U8), U8, 0), "-")</f>
        <v/>
      </c>
      <c r="W8" s="15">
        <f>IF(OR(ISNUMBER(O8), ISNUMBER(V8)), IF(ISNUMBER(O8), O8, 0) + IF(ISNUMBER(V8), V8, 0), "-")</f>
        <v/>
      </c>
      <c r="X8" s="20">
        <f>IF(ISNUMBER(W8), RANK(W8, $W$7:$W$24), "-")</f>
        <v/>
      </c>
      <c r="Y8" s="21" t="inlineStr">
        <is>
          <t>เข้าสอบปกติ</t>
        </is>
      </c>
    </row>
    <row r="9" ht="22" customHeight="1">
      <c r="A9" s="8" t="n">
        <v>3</v>
      </c>
      <c r="B9" s="8" t="inlineStr">
        <is>
          <t>69219090003</t>
        </is>
      </c>
      <c r="C9" s="8" t="inlineStr">
        <is>
          <t>003</t>
        </is>
      </c>
      <c r="D9" s="9" t="inlineStr">
        <is>
          <t>นางสาวกัญญ์วรา ทองดี</t>
        </is>
      </c>
      <c r="E9" s="10" t="n">
        <v>8</v>
      </c>
      <c r="F9" s="10" t="n">
        <v>9</v>
      </c>
      <c r="G9" s="10" t="n">
        <v>10</v>
      </c>
      <c r="H9" s="10" t="n">
        <v>10</v>
      </c>
      <c r="I9" s="10" t="n">
        <v>10</v>
      </c>
      <c r="J9" s="10" t="n">
        <v>10</v>
      </c>
      <c r="K9" s="10" t="n">
        <v>10</v>
      </c>
      <c r="L9" s="10" t="n">
        <v>10</v>
      </c>
      <c r="M9" s="10" t="n">
        <v>10</v>
      </c>
      <c r="N9" s="8" t="n"/>
      <c r="O9" s="11">
        <f>IF(COUNT(E9:N9)&gt;0, SUM(E9:N9), "-")</f>
        <v/>
      </c>
      <c r="P9" s="8" t="n">
        <v>26</v>
      </c>
      <c r="Q9" s="8" t="n">
        <v>30</v>
      </c>
      <c r="R9" s="12">
        <f>IF(COUNT(P9:Q9)&gt;0, SUM(P9:Q9), "-")</f>
        <v/>
      </c>
      <c r="S9" s="8" t="n">
        <v>26</v>
      </c>
      <c r="T9" s="13" t="n">
        <v>18</v>
      </c>
      <c r="U9" s="14">
        <f>IF(COUNT(S9:T9)&gt;0, SUM(S9:T9), "-")</f>
        <v/>
      </c>
      <c r="V9" s="12">
        <f>IF(OR(ISNUMBER(R9), ISNUMBER(U9)), IF(ISNUMBER(R9), R9, 0) + IF(ISNUMBER(U9), U9, 0), "-")</f>
        <v/>
      </c>
      <c r="W9" s="15">
        <f>IF(OR(ISNUMBER(O9), ISNUMBER(V9)), IF(ISNUMBER(O9), O9, 0) + IF(ISNUMBER(V9), V9, 0), "-")</f>
        <v/>
      </c>
      <c r="X9" s="12">
        <f>IF(ISNUMBER(W9), RANK(W9, $W$7:$W$24), "-")</f>
        <v/>
      </c>
      <c r="Y9" s="16" t="inlineStr">
        <is>
          <t>เข้าสอบปกติ</t>
        </is>
      </c>
    </row>
    <row r="10" ht="22" customHeight="1">
      <c r="A10" s="17" t="n">
        <v>4</v>
      </c>
      <c r="B10" s="17" t="inlineStr">
        <is>
          <t>69219090004</t>
        </is>
      </c>
      <c r="C10" s="17" t="inlineStr">
        <is>
          <t>004</t>
        </is>
      </c>
      <c r="D10" s="18" t="inlineStr">
        <is>
          <t>นายกันธรักษ์ พานทอง</t>
        </is>
      </c>
      <c r="E10" s="19" t="n">
        <v>7</v>
      </c>
      <c r="F10" s="19" t="n">
        <v>10</v>
      </c>
      <c r="G10" s="19" t="n">
        <v>10</v>
      </c>
      <c r="H10" s="19" t="n">
        <v>10</v>
      </c>
      <c r="I10" s="19" t="n">
        <v>10</v>
      </c>
      <c r="J10" s="19" t="n">
        <v>10</v>
      </c>
      <c r="K10" s="19" t="n">
        <v>10</v>
      </c>
      <c r="L10" s="19" t="n">
        <v>10</v>
      </c>
      <c r="M10" s="19" t="n">
        <v>10</v>
      </c>
      <c r="N10" s="17" t="n"/>
      <c r="O10" s="11">
        <f>IF(COUNT(E10:N10)&gt;0, SUM(E10:N10), "-")</f>
        <v/>
      </c>
      <c r="P10" s="17" t="n">
        <v>15</v>
      </c>
      <c r="Q10" s="17" t="n">
        <v>5</v>
      </c>
      <c r="R10" s="20">
        <f>IF(COUNT(P10:Q10)&gt;0, SUM(P10:Q10), "-")</f>
        <v/>
      </c>
      <c r="S10" s="17" t="n">
        <v>18</v>
      </c>
      <c r="T10" s="13" t="n">
        <v>5</v>
      </c>
      <c r="U10" s="14">
        <f>IF(COUNT(S10:T10)&gt;0, SUM(S10:T10), "-")</f>
        <v/>
      </c>
      <c r="V10" s="20">
        <f>IF(OR(ISNUMBER(R10), ISNUMBER(U10)), IF(ISNUMBER(R10), R10, 0) + IF(ISNUMBER(U10), U10, 0), "-")</f>
        <v/>
      </c>
      <c r="W10" s="15">
        <f>IF(OR(ISNUMBER(O10), ISNUMBER(V10)), IF(ISNUMBER(O10), O10, 0) + IF(ISNUMBER(V10), V10, 0), "-")</f>
        <v/>
      </c>
      <c r="X10" s="20">
        <f>IF(ISNUMBER(W10), RANK(W10, $W$7:$W$24), "-")</f>
        <v/>
      </c>
      <c r="Y10" s="21" t="inlineStr">
        <is>
          <t>เข้าสอบปกติ</t>
        </is>
      </c>
    </row>
    <row r="11" ht="22" customHeight="1">
      <c r="A11" s="8" t="n">
        <v>5</v>
      </c>
      <c r="B11" s="8" t="inlineStr">
        <is>
          <t>69219090005</t>
        </is>
      </c>
      <c r="C11" s="8" t="inlineStr">
        <is>
          <t>005</t>
        </is>
      </c>
      <c r="D11" s="9" t="inlineStr">
        <is>
          <t>เด็กชายคุณานนต์ พิมพ์จันทร์</t>
        </is>
      </c>
      <c r="E11" s="10" t="n">
        <v>7</v>
      </c>
      <c r="F11" s="10" t="n">
        <v>10</v>
      </c>
      <c r="G11" s="10" t="n">
        <v>10</v>
      </c>
      <c r="H11" s="10" t="n">
        <v>10</v>
      </c>
      <c r="I11" s="10" t="n">
        <v>10</v>
      </c>
      <c r="J11" s="10" t="n">
        <v>10</v>
      </c>
      <c r="K11" s="8" t="n"/>
      <c r="L11" s="10" t="n">
        <v>10</v>
      </c>
      <c r="M11" s="10" t="n">
        <v>10</v>
      </c>
      <c r="N11" s="8" t="n"/>
      <c r="O11" s="11">
        <f>IF(COUNT(E11:N11)&gt;0, SUM(E11:N11), "-")</f>
        <v/>
      </c>
      <c r="P11" s="8" t="n"/>
      <c r="Q11" s="8" t="n"/>
      <c r="R11" s="12">
        <f>IF(COUNT(P11:Q11)&gt;0, SUM(P11:Q11), "-")</f>
        <v/>
      </c>
      <c r="S11" s="8" t="n">
        <v>27</v>
      </c>
      <c r="T11" s="13" t="n">
        <v>5</v>
      </c>
      <c r="U11" s="14">
        <f>IF(COUNT(S11:T11)&gt;0, SUM(S11:T11), "-")</f>
        <v/>
      </c>
      <c r="V11" s="12">
        <f>IF(OR(ISNUMBER(R11), ISNUMBER(U11)), IF(ISNUMBER(R11), R11, 0) + IF(ISNUMBER(U11), U11, 0), "-")</f>
        <v/>
      </c>
      <c r="W11" s="15">
        <f>IF(OR(ISNUMBER(O11), ISNUMBER(V11)), IF(ISNUMBER(O11), O11, 0) + IF(ISNUMBER(V11), V11, 0), "-")</f>
        <v/>
      </c>
      <c r="X11" s="12">
        <f>IF(ISNUMBER(W11), RANK(W11, $W$7:$W$24), "-")</f>
        <v/>
      </c>
      <c r="Y11" s="22" t="inlineStr">
        <is>
          <t>ขาดสอบกลางภาค</t>
        </is>
      </c>
    </row>
    <row r="12" ht="22" customHeight="1">
      <c r="A12" s="17" t="n">
        <v>6</v>
      </c>
      <c r="B12" s="17" t="inlineStr">
        <is>
          <t>69219090006</t>
        </is>
      </c>
      <c r="C12" s="17" t="inlineStr">
        <is>
          <t>006</t>
        </is>
      </c>
      <c r="D12" s="18" t="inlineStr">
        <is>
          <t>เด็กชายเฉลิมวงศ์ มะลิใย</t>
        </is>
      </c>
      <c r="E12" s="19" t="n">
        <v>9</v>
      </c>
      <c r="F12" s="19" t="n">
        <v>9</v>
      </c>
      <c r="G12" s="17" t="n"/>
      <c r="H12" s="19" t="n">
        <v>10</v>
      </c>
      <c r="I12" s="19" t="n">
        <v>10</v>
      </c>
      <c r="J12" s="19" t="n">
        <v>10</v>
      </c>
      <c r="K12" s="19" t="n">
        <v>10</v>
      </c>
      <c r="L12" s="17" t="n"/>
      <c r="M12" s="19" t="n">
        <v>10</v>
      </c>
      <c r="N12" s="17" t="n"/>
      <c r="O12" s="11">
        <f>IF(COUNT(E12:N12)&gt;0, SUM(E12:N12), "-")</f>
        <v/>
      </c>
      <c r="P12" s="17" t="n">
        <v>15</v>
      </c>
      <c r="Q12" s="17" t="n">
        <v>8</v>
      </c>
      <c r="R12" s="20">
        <f>IF(COUNT(P12:Q12)&gt;0, SUM(P12:Q12), "-")</f>
        <v/>
      </c>
      <c r="S12" s="17" t="n">
        <v>22</v>
      </c>
      <c r="T12" s="13" t="n">
        <v>4</v>
      </c>
      <c r="U12" s="14">
        <f>IF(COUNT(S12:T12)&gt;0, SUM(S12:T12), "-")</f>
        <v/>
      </c>
      <c r="V12" s="20">
        <f>IF(OR(ISNUMBER(R12), ISNUMBER(U12)), IF(ISNUMBER(R12), R12, 0) + IF(ISNUMBER(U12), U12, 0), "-")</f>
        <v/>
      </c>
      <c r="W12" s="15">
        <f>IF(OR(ISNUMBER(O12), ISNUMBER(V12)), IF(ISNUMBER(O12), O12, 0) + IF(ISNUMBER(V12), V12, 0), "-")</f>
        <v/>
      </c>
      <c r="X12" s="20">
        <f>IF(ISNUMBER(W12), RANK(W12, $W$7:$W$24), "-")</f>
        <v/>
      </c>
      <c r="Y12" s="21" t="inlineStr">
        <is>
          <t>เข้าสอบปกติ</t>
        </is>
      </c>
    </row>
    <row r="13" ht="22" customHeight="1">
      <c r="A13" s="8" t="n">
        <v>7</v>
      </c>
      <c r="B13" s="8" t="inlineStr">
        <is>
          <t>69219090007</t>
        </is>
      </c>
      <c r="C13" s="8" t="inlineStr">
        <is>
          <t>007</t>
        </is>
      </c>
      <c r="D13" s="9" t="inlineStr">
        <is>
          <t>นางสาวชลดา เรือนแก้ว</t>
        </is>
      </c>
      <c r="E13" s="10" t="n">
        <v>6</v>
      </c>
      <c r="F13" s="10" t="n">
        <v>9</v>
      </c>
      <c r="G13" s="8" t="n"/>
      <c r="H13" s="10" t="n">
        <v>10</v>
      </c>
      <c r="I13" s="8" t="n"/>
      <c r="J13" s="8" t="n"/>
      <c r="K13" s="10" t="n">
        <v>10</v>
      </c>
      <c r="L13" s="8" t="n"/>
      <c r="M13" s="8" t="n"/>
      <c r="N13" s="8" t="n"/>
      <c r="O13" s="11">
        <f>IF(COUNT(E13:N13)&gt;0, SUM(E13:N13), "-")</f>
        <v/>
      </c>
      <c r="P13" s="8" t="n">
        <v>15</v>
      </c>
      <c r="Q13" s="8" t="n">
        <v>20</v>
      </c>
      <c r="R13" s="12">
        <f>IF(COUNT(P13:Q13)&gt;0, SUM(P13:Q13), "-")</f>
        <v/>
      </c>
      <c r="S13" s="8" t="n">
        <v>15</v>
      </c>
      <c r="T13" s="23" t="n">
        <v>8.5</v>
      </c>
      <c r="U13" s="14">
        <f>IF(COUNT(S13:T13)&gt;0, SUM(S13:T13), "-")</f>
        <v/>
      </c>
      <c r="V13" s="12">
        <f>IF(OR(ISNUMBER(R13), ISNUMBER(U13)), IF(ISNUMBER(R13), R13, 0) + IF(ISNUMBER(U13), U13, 0), "-")</f>
        <v/>
      </c>
      <c r="W13" s="15">
        <f>IF(OR(ISNUMBER(O13), ISNUMBER(V13)), IF(ISNUMBER(O13), O13, 0) + IF(ISNUMBER(V13), V13, 0), "-")</f>
        <v/>
      </c>
      <c r="X13" s="12">
        <f>IF(ISNUMBER(W13), RANK(W13, $W$7:$W$24), "-")</f>
        <v/>
      </c>
      <c r="Y13" s="16" t="inlineStr">
        <is>
          <t>เข้าสอบปกติ</t>
        </is>
      </c>
    </row>
    <row r="14" ht="22" customHeight="1">
      <c r="A14" s="17" t="n">
        <v>8</v>
      </c>
      <c r="B14" s="17" t="inlineStr">
        <is>
          <t>69219090008</t>
        </is>
      </c>
      <c r="C14" s="17" t="inlineStr">
        <is>
          <t>008</t>
        </is>
      </c>
      <c r="D14" s="18" t="inlineStr">
        <is>
          <t>นายณัฐกรณ์ กองทอง</t>
        </is>
      </c>
      <c r="E14" s="19" t="n">
        <v>5</v>
      </c>
      <c r="F14" s="19" t="n">
        <v>8</v>
      </c>
      <c r="G14" s="19" t="n">
        <v>10</v>
      </c>
      <c r="H14" s="19" t="n">
        <v>10</v>
      </c>
      <c r="I14" s="19" t="n">
        <v>10</v>
      </c>
      <c r="J14" s="17" t="n"/>
      <c r="K14" s="17" t="n"/>
      <c r="L14" s="17" t="n"/>
      <c r="M14" s="17" t="n"/>
      <c r="N14" s="17" t="n"/>
      <c r="O14" s="11">
        <f>IF(COUNT(E14:N14)&gt;0, SUM(E14:N14), "-")</f>
        <v/>
      </c>
      <c r="P14" s="17" t="n"/>
      <c r="Q14" s="17" t="n"/>
      <c r="R14" s="20">
        <f>IF(COUNT(P14:Q14)&gt;0, SUM(P14:Q14), "-")</f>
        <v/>
      </c>
      <c r="S14" s="17" t="n"/>
      <c r="T14" s="24" t="n"/>
      <c r="U14" s="14">
        <f>IF(COUNT(S14:T14)&gt;0, SUM(S14:T14), "-")</f>
        <v/>
      </c>
      <c r="V14" s="20">
        <f>IF(OR(ISNUMBER(R14), ISNUMBER(U14)), IF(ISNUMBER(R14), R14, 0) + IF(ISNUMBER(U14), U14, 0), "-")</f>
        <v/>
      </c>
      <c r="W14" s="15">
        <f>IF(OR(ISNUMBER(O14), ISNUMBER(V14)), IF(ISNUMBER(O14), O14, 0) + IF(ISNUMBER(V14), V14, 0), "-")</f>
        <v/>
      </c>
      <c r="X14" s="20">
        <f>IF(ISNUMBER(W14), RANK(W14, $W$7:$W$24), "-")</f>
        <v/>
      </c>
      <c r="Y14" s="25" t="inlineStr">
        <is>
          <t>ขาดสอบ</t>
        </is>
      </c>
    </row>
    <row r="15" ht="22" customHeight="1">
      <c r="A15" s="8" t="n">
        <v>9</v>
      </c>
      <c r="B15" s="8" t="inlineStr">
        <is>
          <t>69219090009</t>
        </is>
      </c>
      <c r="C15" s="8" t="inlineStr">
        <is>
          <t>009</t>
        </is>
      </c>
      <c r="D15" s="9" t="inlineStr">
        <is>
          <t>นายณัฐพล ทวีทรัพย์</t>
        </is>
      </c>
      <c r="E15" s="10" t="n">
        <v>7</v>
      </c>
      <c r="F15" s="10" t="n">
        <v>9</v>
      </c>
      <c r="G15" s="10" t="n">
        <v>10</v>
      </c>
      <c r="H15" s="10" t="n">
        <v>10</v>
      </c>
      <c r="I15" s="10" t="n">
        <v>10</v>
      </c>
      <c r="J15" s="10" t="n">
        <v>10</v>
      </c>
      <c r="K15" s="10" t="n">
        <v>10</v>
      </c>
      <c r="L15" s="8" t="n"/>
      <c r="M15" s="10" t="n">
        <v>10</v>
      </c>
      <c r="N15" s="8" t="n"/>
      <c r="O15" s="11">
        <f>IF(COUNT(E15:N15)&gt;0, SUM(E15:N15), "-")</f>
        <v/>
      </c>
      <c r="P15" s="8" t="n">
        <v>13</v>
      </c>
      <c r="Q15" s="8" t="n">
        <v>15</v>
      </c>
      <c r="R15" s="12">
        <f>IF(COUNT(P15:Q15)&gt;0, SUM(P15:Q15), "-")</f>
        <v/>
      </c>
      <c r="S15" s="8" t="n">
        <v>17</v>
      </c>
      <c r="T15" s="13" t="n">
        <v>4</v>
      </c>
      <c r="U15" s="14">
        <f>IF(COUNT(S15:T15)&gt;0, SUM(S15:T15), "-")</f>
        <v/>
      </c>
      <c r="V15" s="12">
        <f>IF(OR(ISNUMBER(R15), ISNUMBER(U15)), IF(ISNUMBER(R15), R15, 0) + IF(ISNUMBER(U15), U15, 0), "-")</f>
        <v/>
      </c>
      <c r="W15" s="15">
        <f>IF(OR(ISNUMBER(O15), ISNUMBER(V15)), IF(ISNUMBER(O15), O15, 0) + IF(ISNUMBER(V15), V15, 0), "-")</f>
        <v/>
      </c>
      <c r="X15" s="12">
        <f>IF(ISNUMBER(W15), RANK(W15, $W$7:$W$24), "-")</f>
        <v/>
      </c>
      <c r="Y15" s="16" t="inlineStr">
        <is>
          <t>เข้าสอบปกติ</t>
        </is>
      </c>
    </row>
    <row r="16" ht="22" customHeight="1">
      <c r="A16" s="17" t="n">
        <v>10</v>
      </c>
      <c r="B16" s="17" t="inlineStr">
        <is>
          <t>69219090010</t>
        </is>
      </c>
      <c r="C16" s="17" t="inlineStr">
        <is>
          <t>010</t>
        </is>
      </c>
      <c r="D16" s="18" t="inlineStr">
        <is>
          <t>นายต้นตระการ เพชรภู่</t>
        </is>
      </c>
      <c r="E16" s="19" t="n">
        <v>8</v>
      </c>
      <c r="F16" s="19" t="n">
        <v>7</v>
      </c>
      <c r="G16" s="19" t="n">
        <v>10</v>
      </c>
      <c r="H16" s="17" t="n"/>
      <c r="I16" s="17" t="n"/>
      <c r="J16" s="19" t="n">
        <v>10</v>
      </c>
      <c r="K16" s="17" t="n"/>
      <c r="L16" s="19" t="n">
        <v>10</v>
      </c>
      <c r="M16" s="19" t="n">
        <v>10</v>
      </c>
      <c r="N16" s="17" t="n"/>
      <c r="O16" s="11">
        <f>IF(COUNT(E16:N16)&gt;0, SUM(E16:N16), "-")</f>
        <v/>
      </c>
      <c r="P16" s="17" t="n">
        <v>11</v>
      </c>
      <c r="Q16" s="17" t="n">
        <v>2</v>
      </c>
      <c r="R16" s="20">
        <f>IF(COUNT(P16:Q16)&gt;0, SUM(P16:Q16), "-")</f>
        <v/>
      </c>
      <c r="S16" s="17" t="n">
        <v>6</v>
      </c>
      <c r="T16" s="13" t="n">
        <v>0</v>
      </c>
      <c r="U16" s="14">
        <f>IF(COUNT(S16:T16)&gt;0, SUM(S16:T16), "-")</f>
        <v/>
      </c>
      <c r="V16" s="20">
        <f>IF(OR(ISNUMBER(R16), ISNUMBER(U16)), IF(ISNUMBER(R16), R16, 0) + IF(ISNUMBER(U16), U16, 0), "-")</f>
        <v/>
      </c>
      <c r="W16" s="15">
        <f>IF(OR(ISNUMBER(O16), ISNUMBER(V16)), IF(ISNUMBER(O16), O16, 0) + IF(ISNUMBER(V16), V16, 0), "-")</f>
        <v/>
      </c>
      <c r="X16" s="20">
        <f>IF(ISNUMBER(W16), RANK(W16, $W$7:$W$24), "-")</f>
        <v/>
      </c>
      <c r="Y16" s="21" t="inlineStr">
        <is>
          <t>เข้าสอบปกติ</t>
        </is>
      </c>
    </row>
    <row r="17" ht="22" customHeight="1">
      <c r="A17" s="8" t="n">
        <v>11</v>
      </c>
      <c r="B17" s="8" t="inlineStr">
        <is>
          <t>69219090011</t>
        </is>
      </c>
      <c r="C17" s="8" t="inlineStr">
        <is>
          <t>011</t>
        </is>
      </c>
      <c r="D17" s="9" t="inlineStr">
        <is>
          <t>นายตฤณ ตาดทอง</t>
        </is>
      </c>
      <c r="E17" s="10" t="n">
        <v>9</v>
      </c>
      <c r="F17" s="10" t="n">
        <v>9</v>
      </c>
      <c r="G17" s="10" t="n">
        <v>10</v>
      </c>
      <c r="H17" s="10" t="n">
        <v>10</v>
      </c>
      <c r="I17" s="10" t="n">
        <v>10</v>
      </c>
      <c r="J17" s="10" t="n">
        <v>10</v>
      </c>
      <c r="K17" s="10" t="n">
        <v>10</v>
      </c>
      <c r="L17" s="10" t="n">
        <v>10</v>
      </c>
      <c r="M17" s="10" t="n">
        <v>10</v>
      </c>
      <c r="N17" s="8" t="n"/>
      <c r="O17" s="11">
        <f>IF(COUNT(E17:N17)&gt;0, SUM(E17:N17), "-")</f>
        <v/>
      </c>
      <c r="P17" s="8" t="n">
        <v>21</v>
      </c>
      <c r="Q17" s="8" t="n">
        <v>9</v>
      </c>
      <c r="R17" s="12">
        <f>IF(COUNT(P17:Q17)&gt;0, SUM(P17:Q17), "-")</f>
        <v/>
      </c>
      <c r="S17" s="8" t="n">
        <v>25</v>
      </c>
      <c r="T17" s="13" t="n">
        <v>5</v>
      </c>
      <c r="U17" s="14">
        <f>IF(COUNT(S17:T17)&gt;0, SUM(S17:T17), "-")</f>
        <v/>
      </c>
      <c r="V17" s="12">
        <f>IF(OR(ISNUMBER(R17), ISNUMBER(U17)), IF(ISNUMBER(R17), R17, 0) + IF(ISNUMBER(U17), U17, 0), "-")</f>
        <v/>
      </c>
      <c r="W17" s="15">
        <f>IF(OR(ISNUMBER(O17), ISNUMBER(V17)), IF(ISNUMBER(O17), O17, 0) + IF(ISNUMBER(V17), V17, 0), "-")</f>
        <v/>
      </c>
      <c r="X17" s="12">
        <f>IF(ISNUMBER(W17), RANK(W17, $W$7:$W$24), "-")</f>
        <v/>
      </c>
      <c r="Y17" s="16" t="inlineStr">
        <is>
          <t>เข้าสอบปกติ</t>
        </is>
      </c>
    </row>
    <row r="18" ht="22" customHeight="1">
      <c r="A18" s="17" t="n">
        <v>12</v>
      </c>
      <c r="B18" s="17" t="inlineStr">
        <is>
          <t>69219090012</t>
        </is>
      </c>
      <c r="C18" s="17" t="inlineStr">
        <is>
          <t>012</t>
        </is>
      </c>
      <c r="D18" s="18" t="inlineStr">
        <is>
          <t>นายธนพัฒน์ บุญเรือง</t>
        </is>
      </c>
      <c r="E18" s="19" t="n">
        <v>8</v>
      </c>
      <c r="F18" s="19" t="n">
        <v>9</v>
      </c>
      <c r="G18" s="19" t="n">
        <v>10</v>
      </c>
      <c r="H18" s="19" t="n">
        <v>10</v>
      </c>
      <c r="I18" s="19" t="n">
        <v>10</v>
      </c>
      <c r="J18" s="19" t="n">
        <v>10</v>
      </c>
      <c r="K18" s="19" t="n">
        <v>10</v>
      </c>
      <c r="L18" s="19" t="n">
        <v>10</v>
      </c>
      <c r="M18" s="19" t="n">
        <v>10</v>
      </c>
      <c r="N18" s="17" t="n"/>
      <c r="O18" s="11">
        <f>IF(COUNT(E18:N18)&gt;0, SUM(E18:N18), "-")</f>
        <v/>
      </c>
      <c r="P18" s="17" t="n">
        <v>20</v>
      </c>
      <c r="Q18" s="17" t="n">
        <v>30</v>
      </c>
      <c r="R18" s="20">
        <f>IF(COUNT(P18:Q18)&gt;0, SUM(P18:Q18), "-")</f>
        <v/>
      </c>
      <c r="S18" s="17" t="n">
        <v>22</v>
      </c>
      <c r="T18" s="13" t="n">
        <v>12</v>
      </c>
      <c r="U18" s="14">
        <f>IF(COUNT(S18:T18)&gt;0, SUM(S18:T18), "-")</f>
        <v/>
      </c>
      <c r="V18" s="20">
        <f>IF(OR(ISNUMBER(R18), ISNUMBER(U18)), IF(ISNUMBER(R18), R18, 0) + IF(ISNUMBER(U18), U18, 0), "-")</f>
        <v/>
      </c>
      <c r="W18" s="15">
        <f>IF(OR(ISNUMBER(O18), ISNUMBER(V18)), IF(ISNUMBER(O18), O18, 0) + IF(ISNUMBER(V18), V18, 0), "-")</f>
        <v/>
      </c>
      <c r="X18" s="20">
        <f>IF(ISNUMBER(W18), RANK(W18, $W$7:$W$24), "-")</f>
        <v/>
      </c>
      <c r="Y18" s="21" t="inlineStr">
        <is>
          <t>เข้าสอบปกติ</t>
        </is>
      </c>
    </row>
    <row r="19" ht="22" customHeight="1">
      <c r="A19" s="8" t="n">
        <v>13</v>
      </c>
      <c r="B19" s="8" t="inlineStr">
        <is>
          <t>69219090013</t>
        </is>
      </c>
      <c r="C19" s="8" t="inlineStr">
        <is>
          <t>013</t>
        </is>
      </c>
      <c r="D19" s="9" t="inlineStr">
        <is>
          <t>นายธีรภัทร วาสิทธิ์เทพ</t>
        </is>
      </c>
      <c r="E19" s="10" t="n">
        <v>8</v>
      </c>
      <c r="F19" s="10" t="n">
        <v>10</v>
      </c>
      <c r="G19" s="10" t="n">
        <v>10</v>
      </c>
      <c r="H19" s="10" t="n">
        <v>10</v>
      </c>
      <c r="I19" s="10" t="n">
        <v>10</v>
      </c>
      <c r="J19" s="10" t="n">
        <v>10</v>
      </c>
      <c r="K19" s="10" t="n">
        <v>10</v>
      </c>
      <c r="L19" s="8" t="n"/>
      <c r="M19" s="10" t="n">
        <v>10</v>
      </c>
      <c r="N19" s="8" t="n"/>
      <c r="O19" s="11">
        <f>IF(COUNT(E19:N19)&gt;0, SUM(E19:N19), "-")</f>
        <v/>
      </c>
      <c r="P19" s="8" t="n">
        <v>16</v>
      </c>
      <c r="Q19" s="8" t="n">
        <v>8</v>
      </c>
      <c r="R19" s="12">
        <f>IF(COUNT(P19:Q19)&gt;0, SUM(P19:Q19), "-")</f>
        <v/>
      </c>
      <c r="S19" s="8" t="n">
        <v>17</v>
      </c>
      <c r="T19" s="13" t="n">
        <v>5</v>
      </c>
      <c r="U19" s="14">
        <f>IF(COUNT(S19:T19)&gt;0, SUM(S19:T19), "-")</f>
        <v/>
      </c>
      <c r="V19" s="12">
        <f>IF(OR(ISNUMBER(R19), ISNUMBER(U19)), IF(ISNUMBER(R19), R19, 0) + IF(ISNUMBER(U19), U19, 0), "-")</f>
        <v/>
      </c>
      <c r="W19" s="15">
        <f>IF(OR(ISNUMBER(O19), ISNUMBER(V19)), IF(ISNUMBER(O19), O19, 0) + IF(ISNUMBER(V19), V19, 0), "-")</f>
        <v/>
      </c>
      <c r="X19" s="12">
        <f>IF(ISNUMBER(W19), RANK(W19, $W$7:$W$24), "-")</f>
        <v/>
      </c>
      <c r="Y19" s="16" t="inlineStr">
        <is>
          <t>เข้าสอบปกติ</t>
        </is>
      </c>
    </row>
    <row r="20" ht="22" customHeight="1">
      <c r="A20" s="17" t="n">
        <v>14</v>
      </c>
      <c r="B20" s="17" t="inlineStr">
        <is>
          <t>69219090014</t>
        </is>
      </c>
      <c r="C20" s="17" t="inlineStr">
        <is>
          <t>014</t>
        </is>
      </c>
      <c r="D20" s="18" t="inlineStr">
        <is>
          <t>นายภูเบต ควันทอง</t>
        </is>
      </c>
      <c r="E20" s="17" t="n"/>
      <c r="F20" s="19" t="n">
        <v>9</v>
      </c>
      <c r="G20" s="17" t="n"/>
      <c r="H20" s="17" t="n"/>
      <c r="I20" s="17" t="n"/>
      <c r="J20" s="17" t="n"/>
      <c r="K20" s="17" t="n"/>
      <c r="L20" s="17" t="n"/>
      <c r="M20" s="17" t="n"/>
      <c r="N20" s="17" t="n"/>
      <c r="O20" s="11">
        <f>IF(COUNT(E20:N20)&gt;0, SUM(E20:N20), "-")</f>
        <v/>
      </c>
      <c r="P20" s="17" t="n"/>
      <c r="Q20" s="17" t="n"/>
      <c r="R20" s="20">
        <f>IF(COUNT(P20:Q20)&gt;0, SUM(P20:Q20), "-")</f>
        <v/>
      </c>
      <c r="S20" s="17" t="n"/>
      <c r="T20" s="24" t="n"/>
      <c r="U20" s="14">
        <f>IF(COUNT(S20:T20)&gt;0, SUM(S20:T20), "-")</f>
        <v/>
      </c>
      <c r="V20" s="20">
        <f>IF(OR(ISNUMBER(R20), ISNUMBER(U20)), IF(ISNUMBER(R20), R20, 0) + IF(ISNUMBER(U20), U20, 0), "-")</f>
        <v/>
      </c>
      <c r="W20" s="15">
        <f>IF(OR(ISNUMBER(O20), ISNUMBER(V20)), IF(ISNUMBER(O20), O20, 0) + IF(ISNUMBER(V20), V20, 0), "-")</f>
        <v/>
      </c>
      <c r="X20" s="20">
        <f>IF(ISNUMBER(W20), RANK(W20, $W$7:$W$24), "-")</f>
        <v/>
      </c>
      <c r="Y20" s="25" t="inlineStr">
        <is>
          <t>ขาดสอบ</t>
        </is>
      </c>
    </row>
    <row r="21" ht="22" customHeight="1">
      <c r="A21" s="8" t="n">
        <v>15</v>
      </c>
      <c r="B21" s="8" t="inlineStr">
        <is>
          <t>69219090015</t>
        </is>
      </c>
      <c r="C21" s="8" t="inlineStr">
        <is>
          <t>015</t>
        </is>
      </c>
      <c r="D21" s="9" t="inlineStr">
        <is>
          <t>นายภูวพิศิษฐ์ ใหลสกุล</t>
        </is>
      </c>
      <c r="E21" s="10" t="n">
        <v>7</v>
      </c>
      <c r="F21" s="10" t="n">
        <v>8</v>
      </c>
      <c r="G21" s="10" t="n">
        <v>10</v>
      </c>
      <c r="H21" s="10" t="n">
        <v>10</v>
      </c>
      <c r="I21" s="10" t="n">
        <v>10</v>
      </c>
      <c r="J21" s="10" t="n">
        <v>10</v>
      </c>
      <c r="K21" s="10" t="n">
        <v>10</v>
      </c>
      <c r="L21" s="10" t="n">
        <v>10</v>
      </c>
      <c r="M21" s="10" t="n">
        <v>10</v>
      </c>
      <c r="N21" s="8" t="n"/>
      <c r="O21" s="11">
        <f>IF(COUNT(E21:N21)&gt;0, SUM(E21:N21), "-")</f>
        <v/>
      </c>
      <c r="P21" s="8" t="n">
        <v>31</v>
      </c>
      <c r="Q21" s="8" t="n">
        <v>40</v>
      </c>
      <c r="R21" s="12">
        <f>IF(COUNT(P21:Q21)&gt;0, SUM(P21:Q21), "-")</f>
        <v/>
      </c>
      <c r="S21" s="8" t="n">
        <v>26</v>
      </c>
      <c r="T21" s="13" t="n">
        <v>19</v>
      </c>
      <c r="U21" s="14">
        <f>IF(COUNT(S21:T21)&gt;0, SUM(S21:T21), "-")</f>
        <v/>
      </c>
      <c r="V21" s="12">
        <f>IF(OR(ISNUMBER(R21), ISNUMBER(U21)), IF(ISNUMBER(R21), R21, 0) + IF(ISNUMBER(U21), U21, 0), "-")</f>
        <v/>
      </c>
      <c r="W21" s="15">
        <f>IF(OR(ISNUMBER(O21), ISNUMBER(V21)), IF(ISNUMBER(O21), O21, 0) + IF(ISNUMBER(V21), V21, 0), "-")</f>
        <v/>
      </c>
      <c r="X21" s="12">
        <f>IF(ISNUMBER(W21), RANK(W21, $W$7:$W$24), "-")</f>
        <v/>
      </c>
      <c r="Y21" s="16" t="inlineStr">
        <is>
          <t>เข้าสอบปกติ</t>
        </is>
      </c>
    </row>
    <row r="22" ht="22" customHeight="1">
      <c r="A22" s="17" t="n">
        <v>16</v>
      </c>
      <c r="B22" s="17" t="inlineStr">
        <is>
          <t>69219090016</t>
        </is>
      </c>
      <c r="C22" s="17" t="inlineStr">
        <is>
          <t>016</t>
        </is>
      </c>
      <c r="D22" s="18" t="inlineStr">
        <is>
          <t>นางสาวมินตา บินอามัด</t>
        </is>
      </c>
      <c r="E22" s="19" t="n">
        <v>8</v>
      </c>
      <c r="F22" s="19" t="n">
        <v>9</v>
      </c>
      <c r="G22" s="19" t="n">
        <v>10</v>
      </c>
      <c r="H22" s="19" t="n">
        <v>10</v>
      </c>
      <c r="I22" s="19" t="n">
        <v>10</v>
      </c>
      <c r="J22" s="19" t="n">
        <v>10</v>
      </c>
      <c r="K22" s="19" t="n">
        <v>10</v>
      </c>
      <c r="L22" s="19" t="n">
        <v>10</v>
      </c>
      <c r="M22" s="19" t="n">
        <v>10</v>
      </c>
      <c r="N22" s="17" t="n"/>
      <c r="O22" s="11">
        <f>IF(COUNT(E22:N22)&gt;0, SUM(E22:N22), "-")</f>
        <v/>
      </c>
      <c r="P22" s="17" t="n">
        <v>16</v>
      </c>
      <c r="Q22" s="17" t="n">
        <v>18</v>
      </c>
      <c r="R22" s="20">
        <f>IF(COUNT(P22:Q22)&gt;0, SUM(P22:Q22), "-")</f>
        <v/>
      </c>
      <c r="S22" s="17" t="n">
        <v>10</v>
      </c>
      <c r="T22" s="13" t="n">
        <v>7</v>
      </c>
      <c r="U22" s="14">
        <f>IF(COUNT(S22:T22)&gt;0, SUM(S22:T22), "-")</f>
        <v/>
      </c>
      <c r="V22" s="20">
        <f>IF(OR(ISNUMBER(R22), ISNUMBER(U22)), IF(ISNUMBER(R22), R22, 0) + IF(ISNUMBER(U22), U22, 0), "-")</f>
        <v/>
      </c>
      <c r="W22" s="15">
        <f>IF(OR(ISNUMBER(O22), ISNUMBER(V22)), IF(ISNUMBER(O22), O22, 0) + IF(ISNUMBER(V22), V22, 0), "-")</f>
        <v/>
      </c>
      <c r="X22" s="20">
        <f>IF(ISNUMBER(W22), RANK(W22, $W$7:$W$24), "-")</f>
        <v/>
      </c>
      <c r="Y22" s="21" t="inlineStr">
        <is>
          <t>เข้าสอบปกติ</t>
        </is>
      </c>
    </row>
    <row r="23" ht="22" customHeight="1">
      <c r="A23" s="8" t="n">
        <v>17</v>
      </c>
      <c r="B23" s="8" t="inlineStr">
        <is>
          <t>69219090017</t>
        </is>
      </c>
      <c r="C23" s="8" t="inlineStr">
        <is>
          <t>017</t>
        </is>
      </c>
      <c r="D23" s="9" t="inlineStr">
        <is>
          <t>นายอัรฮัม ยูนุ</t>
        </is>
      </c>
      <c r="E23" s="10" t="n">
        <v>9</v>
      </c>
      <c r="F23" s="10" t="n">
        <v>10</v>
      </c>
      <c r="G23" s="10" t="n">
        <v>10</v>
      </c>
      <c r="H23" s="10" t="n">
        <v>10</v>
      </c>
      <c r="I23" s="10" t="n">
        <v>10</v>
      </c>
      <c r="J23" s="10" t="n">
        <v>10</v>
      </c>
      <c r="K23" s="10" t="n">
        <v>10</v>
      </c>
      <c r="L23" s="10" t="n">
        <v>10</v>
      </c>
      <c r="M23" s="10" t="n">
        <v>10</v>
      </c>
      <c r="N23" s="8" t="n"/>
      <c r="O23" s="11">
        <f>IF(COUNT(E23:N23)&gt;0, SUM(E23:N23), "-")</f>
        <v/>
      </c>
      <c r="P23" s="8" t="n">
        <v>20</v>
      </c>
      <c r="Q23" s="8" t="n">
        <v>15</v>
      </c>
      <c r="R23" s="12">
        <f>IF(COUNT(P23:Q23)&gt;0, SUM(P23:Q23), "-")</f>
        <v/>
      </c>
      <c r="S23" s="8" t="n">
        <v>26</v>
      </c>
      <c r="T23" s="13" t="n">
        <v>5</v>
      </c>
      <c r="U23" s="14">
        <f>IF(COUNT(S23:T23)&gt;0, SUM(S23:T23), "-")</f>
        <v/>
      </c>
      <c r="V23" s="12">
        <f>IF(OR(ISNUMBER(R23), ISNUMBER(U23)), IF(ISNUMBER(R23), R23, 0) + IF(ISNUMBER(U23), U23, 0), "-")</f>
        <v/>
      </c>
      <c r="W23" s="15">
        <f>IF(OR(ISNUMBER(O23), ISNUMBER(V23)), IF(ISNUMBER(O23), O23, 0) + IF(ISNUMBER(V23), V23, 0), "-")</f>
        <v/>
      </c>
      <c r="X23" s="12">
        <f>IF(ISNUMBER(W23), RANK(W23, $W$7:$W$24), "-")</f>
        <v/>
      </c>
      <c r="Y23" s="16" t="inlineStr">
        <is>
          <t>เข้าสอบปกติ</t>
        </is>
      </c>
    </row>
    <row r="24" ht="22" customHeight="1">
      <c r="A24" s="17" t="n">
        <v>18</v>
      </c>
      <c r="B24" s="17" t="inlineStr">
        <is>
          <t>69219090018</t>
        </is>
      </c>
      <c r="C24" s="17" t="inlineStr">
        <is>
          <t>018</t>
        </is>
      </c>
      <c r="D24" s="18" t="inlineStr">
        <is>
          <t>นายอานนท์ณัฏฐ์ ไวพจน์</t>
        </is>
      </c>
      <c r="E24" s="19" t="n">
        <v>5</v>
      </c>
      <c r="F24" s="19" t="n">
        <v>9</v>
      </c>
      <c r="G24" s="19" t="n">
        <v>10</v>
      </c>
      <c r="H24" s="19" t="n">
        <v>10</v>
      </c>
      <c r="I24" s="19" t="n">
        <v>10</v>
      </c>
      <c r="J24" s="19" t="n">
        <v>10</v>
      </c>
      <c r="K24" s="19" t="n">
        <v>10</v>
      </c>
      <c r="L24" s="19" t="n">
        <v>10</v>
      </c>
      <c r="M24" s="19" t="n">
        <v>10</v>
      </c>
      <c r="N24" s="17" t="n"/>
      <c r="O24" s="11">
        <f>IF(COUNT(E24:N24)&gt;0, SUM(E24:N24), "-")</f>
        <v/>
      </c>
      <c r="P24" s="17" t="n">
        <v>18</v>
      </c>
      <c r="Q24" s="17" t="n">
        <v>15</v>
      </c>
      <c r="R24" s="20">
        <f>IF(COUNT(P24:Q24)&gt;0, SUM(P24:Q24), "-")</f>
        <v/>
      </c>
      <c r="S24" s="17" t="n">
        <v>18</v>
      </c>
      <c r="T24" s="13" t="n">
        <v>8</v>
      </c>
      <c r="U24" s="14">
        <f>IF(COUNT(S24:T24)&gt;0, SUM(S24:T24), "-")</f>
        <v/>
      </c>
      <c r="V24" s="20">
        <f>IF(OR(ISNUMBER(R24), ISNUMBER(U24)), IF(ISNUMBER(R24), R24, 0) + IF(ISNUMBER(U24), U24, 0), "-")</f>
        <v/>
      </c>
      <c r="W24" s="15">
        <f>IF(OR(ISNUMBER(O24), ISNUMBER(V24)), IF(ISNUMBER(O24), O24, 0) + IF(ISNUMBER(V24), V24, 0), "-")</f>
        <v/>
      </c>
      <c r="X24" s="20">
        <f>IF(ISNUMBER(W24), RANK(W24, $W$7:$W$24), "-")</f>
        <v/>
      </c>
      <c r="Y24" s="21" t="inlineStr">
        <is>
          <t>เข้าสอบปกติ</t>
        </is>
      </c>
    </row>
    <row r="25" ht="22" customHeight="1">
      <c r="A25" s="26" t="inlineStr">
        <is>
          <t>คะแนนเฉลี่ย (Average)</t>
        </is>
      </c>
      <c r="B25" s="27" t="n"/>
      <c r="C25" s="27" t="n"/>
      <c r="D25" s="27" t="n"/>
      <c r="E25" s="28">
        <f>IFERROR(ROUND(AVERAGE(E7:E24), 2), "-")</f>
        <v/>
      </c>
      <c r="F25" s="28">
        <f>IFERROR(ROUND(AVERAGE(F7:F24), 2), "-")</f>
        <v/>
      </c>
      <c r="G25" s="28">
        <f>IFERROR(ROUND(AVERAGE(G7:G24), 2), "-")</f>
        <v/>
      </c>
      <c r="H25" s="28">
        <f>IFERROR(ROUND(AVERAGE(H7:H24), 2), "-")</f>
        <v/>
      </c>
      <c r="I25" s="28">
        <f>IFERROR(ROUND(AVERAGE(I7:I24), 2), "-")</f>
        <v/>
      </c>
      <c r="J25" s="28">
        <f>IFERROR(ROUND(AVERAGE(J7:J24), 2), "-")</f>
        <v/>
      </c>
      <c r="K25" s="28">
        <f>IFERROR(ROUND(AVERAGE(K7:K24), 2), "-")</f>
        <v/>
      </c>
      <c r="L25" s="28">
        <f>IFERROR(ROUND(AVERAGE(L7:L24), 2), "-")</f>
        <v/>
      </c>
      <c r="M25" s="28">
        <f>IFERROR(ROUND(AVERAGE(M7:M24), 2), "-")</f>
        <v/>
      </c>
      <c r="N25" s="28">
        <f>IFERROR(ROUND(AVERAGE(N7:N24), 2), "-")</f>
        <v/>
      </c>
      <c r="O25" s="28">
        <f>IFERROR(ROUND(AVERAGE(O7:O24), 2), "-")</f>
        <v/>
      </c>
      <c r="P25" s="28">
        <f>IFERROR(ROUND(AVERAGE(P7:P24), 2), "-")</f>
        <v/>
      </c>
      <c r="Q25" s="28">
        <f>IFERROR(ROUND(AVERAGE(Q7:Q24), 2), "-")</f>
        <v/>
      </c>
      <c r="R25" s="28">
        <f>IFERROR(ROUND(AVERAGE(R7:R24), 2), "-")</f>
        <v/>
      </c>
      <c r="S25" s="28">
        <f>IFERROR(ROUND(AVERAGE(S7:S24), 2), "-")</f>
        <v/>
      </c>
      <c r="T25" s="28">
        <f>IFERROR(ROUND(AVERAGE(T7:T24), 2), "-")</f>
        <v/>
      </c>
      <c r="U25" s="28">
        <f>IFERROR(ROUND(AVERAGE(U7:U24), 2), "-")</f>
        <v/>
      </c>
      <c r="V25" s="28">
        <f>IFERROR(ROUND(AVERAGE(V7:V24), 2), "-")</f>
        <v/>
      </c>
      <c r="W25" s="28">
        <f>IFERROR(ROUND(AVERAGE(W7:W24), 2), "-")</f>
        <v/>
      </c>
      <c r="X25" s="27" t="n"/>
      <c r="Y25" s="27" t="n"/>
    </row>
    <row r="26" ht="22" customHeight="1">
      <c r="A26" s="26" t="inlineStr">
        <is>
          <t>คะแนนสูงสุด (Max)</t>
        </is>
      </c>
      <c r="B26" s="27" t="n"/>
      <c r="C26" s="27" t="n"/>
      <c r="D26" s="27" t="n"/>
      <c r="E26" s="28">
        <f>IFERROR(MAX(E7:E24), "-")</f>
        <v/>
      </c>
      <c r="F26" s="28">
        <f>IFERROR(MAX(F7:F24), "-")</f>
        <v/>
      </c>
      <c r="G26" s="28">
        <f>IFERROR(MAX(G7:G24), "-")</f>
        <v/>
      </c>
      <c r="H26" s="28">
        <f>IFERROR(MAX(H7:H24), "-")</f>
        <v/>
      </c>
      <c r="I26" s="28">
        <f>IFERROR(MAX(I7:I24), "-")</f>
        <v/>
      </c>
      <c r="J26" s="28">
        <f>IFERROR(MAX(J7:J24), "-")</f>
        <v/>
      </c>
      <c r="K26" s="28">
        <f>IFERROR(MAX(K7:K24), "-")</f>
        <v/>
      </c>
      <c r="L26" s="28">
        <f>IFERROR(MAX(L7:L24), "-")</f>
        <v/>
      </c>
      <c r="M26" s="28">
        <f>IFERROR(MAX(M7:M24), "-")</f>
        <v/>
      </c>
      <c r="N26" s="28">
        <f>IFERROR(MAX(N7:N24), "-")</f>
        <v/>
      </c>
      <c r="O26" s="28">
        <f>IFERROR(MAX(O7:O24), "-")</f>
        <v/>
      </c>
      <c r="P26" s="28">
        <f>IFERROR(MAX(P7:P24), "-")</f>
        <v/>
      </c>
      <c r="Q26" s="28">
        <f>IFERROR(MAX(Q7:Q24), "-")</f>
        <v/>
      </c>
      <c r="R26" s="28">
        <f>IFERROR(MAX(R7:R24), "-")</f>
        <v/>
      </c>
      <c r="S26" s="28">
        <f>IFERROR(MAX(S7:S24), "-")</f>
        <v/>
      </c>
      <c r="T26" s="28">
        <f>IFERROR(MAX(T7:T24), "-")</f>
        <v/>
      </c>
      <c r="U26" s="28">
        <f>IFERROR(MAX(U7:U24), "-")</f>
        <v/>
      </c>
      <c r="V26" s="28">
        <f>IFERROR(MAX(V7:V24), "-")</f>
        <v/>
      </c>
      <c r="W26" s="28">
        <f>IFERROR(MAX(W7:W24), "-")</f>
        <v/>
      </c>
      <c r="X26" s="27" t="n"/>
      <c r="Y26" s="27" t="n"/>
    </row>
    <row r="27" ht="22" customHeight="1">
      <c r="A27" s="26" t="inlineStr">
        <is>
          <t>คะแนนต่ำสุด (Min)</t>
        </is>
      </c>
      <c r="B27" s="27" t="n"/>
      <c r="C27" s="27" t="n"/>
      <c r="D27" s="27" t="n"/>
      <c r="E27" s="28">
        <f>IFERROR(MIN(E7:E24), "-")</f>
        <v/>
      </c>
      <c r="F27" s="28">
        <f>IFERROR(MIN(F7:F24), "-")</f>
        <v/>
      </c>
      <c r="G27" s="28">
        <f>IFERROR(MIN(G7:G24), "-")</f>
        <v/>
      </c>
      <c r="H27" s="28">
        <f>IFERROR(MIN(H7:H24), "-")</f>
        <v/>
      </c>
      <c r="I27" s="28">
        <f>IFERROR(MIN(I7:I24), "-")</f>
        <v/>
      </c>
      <c r="J27" s="28">
        <f>IFERROR(MIN(J7:J24), "-")</f>
        <v/>
      </c>
      <c r="K27" s="28">
        <f>IFERROR(MIN(K7:K24), "-")</f>
        <v/>
      </c>
      <c r="L27" s="28">
        <f>IFERROR(MIN(L7:L24), "-")</f>
        <v/>
      </c>
      <c r="M27" s="28">
        <f>IFERROR(MIN(M7:M24), "-")</f>
        <v/>
      </c>
      <c r="N27" s="28">
        <f>IFERROR(MIN(N7:N24), "-")</f>
        <v/>
      </c>
      <c r="O27" s="28">
        <f>IFERROR(MIN(O7:O24), "-")</f>
        <v/>
      </c>
      <c r="P27" s="28">
        <f>IFERROR(MIN(P7:P24), "-")</f>
        <v/>
      </c>
      <c r="Q27" s="28">
        <f>IFERROR(MIN(Q7:Q24), "-")</f>
        <v/>
      </c>
      <c r="R27" s="28">
        <f>IFERROR(MIN(R7:R24), "-")</f>
        <v/>
      </c>
      <c r="S27" s="28">
        <f>IFERROR(MIN(S7:S24), "-")</f>
        <v/>
      </c>
      <c r="T27" s="28">
        <f>IFERROR(MIN(T7:T24), "-")</f>
        <v/>
      </c>
      <c r="U27" s="28">
        <f>IFERROR(MIN(U7:U24), "-")</f>
        <v/>
      </c>
      <c r="V27" s="28">
        <f>IFERROR(MIN(V7:V24), "-")</f>
        <v/>
      </c>
      <c r="W27" s="28">
        <f>IFERROR(MIN(W7:W24), "-")</f>
        <v/>
      </c>
      <c r="X27" s="27" t="n"/>
      <c r="Y27" s="27" t="n"/>
    </row>
    <row r="28" ht="22" customHeight="1">
      <c r="A28" s="29" t="inlineStr">
        <is>
          <t>ส่วนเบี่ยงเบนมาตรฐาน (S.D.)</t>
        </is>
      </c>
      <c r="B28" s="30" t="n"/>
      <c r="C28" s="30" t="n"/>
      <c r="D28" s="30" t="n"/>
      <c r="E28" s="31">
        <f>IFERROR(ROUND(STDEV.P(E7:E24), 2), "-")</f>
        <v/>
      </c>
      <c r="F28" s="31">
        <f>IFERROR(ROUND(STDEV.P(F7:F24), 2), "-")</f>
        <v/>
      </c>
      <c r="G28" s="31">
        <f>IFERROR(ROUND(STDEV.P(G7:G24), 2), "-")</f>
        <v/>
      </c>
      <c r="H28" s="31">
        <f>IFERROR(ROUND(STDEV.P(H7:H24), 2), "-")</f>
        <v/>
      </c>
      <c r="I28" s="31">
        <f>IFERROR(ROUND(STDEV.P(I7:I24), 2), "-")</f>
        <v/>
      </c>
      <c r="J28" s="31">
        <f>IFERROR(ROUND(STDEV.P(J7:J24), 2), "-")</f>
        <v/>
      </c>
      <c r="K28" s="31">
        <f>IFERROR(ROUND(STDEV.P(K7:K24), 2), "-")</f>
        <v/>
      </c>
      <c r="L28" s="31">
        <f>IFERROR(ROUND(STDEV.P(L7:L24), 2), "-")</f>
        <v/>
      </c>
      <c r="M28" s="31">
        <f>IFERROR(ROUND(STDEV.P(M7:M24), 2), "-")</f>
        <v/>
      </c>
      <c r="N28" s="31">
        <f>IFERROR(ROUND(STDEV.P(N7:N24), 2), "-")</f>
        <v/>
      </c>
      <c r="O28" s="31">
        <f>IFERROR(ROUND(STDEV.P(O7:O24), 2), "-")</f>
        <v/>
      </c>
      <c r="P28" s="31">
        <f>IFERROR(ROUND(STDEV.P(P7:P24), 2), "-")</f>
        <v/>
      </c>
      <c r="Q28" s="31">
        <f>IFERROR(ROUND(STDEV.P(Q7:Q24), 2), "-")</f>
        <v/>
      </c>
      <c r="R28" s="31">
        <f>IFERROR(ROUND(STDEV.P(R7:R24), 2), "-")</f>
        <v/>
      </c>
      <c r="S28" s="31">
        <f>IFERROR(ROUND(STDEV.P(S7:S24), 2), "-")</f>
        <v/>
      </c>
      <c r="T28" s="31">
        <f>IFERROR(ROUND(STDEV.P(T7:T24), 2), "-")</f>
        <v/>
      </c>
      <c r="U28" s="31">
        <f>IFERROR(ROUND(STDEV.P(U7:U24), 2), "-")</f>
        <v/>
      </c>
      <c r="V28" s="31">
        <f>IFERROR(ROUND(STDEV.P(V7:V24), 2), "-")</f>
        <v/>
      </c>
      <c r="W28" s="31">
        <f>IFERROR(ROUND(STDEV.P(W7:W24), 2), "-")</f>
        <v/>
      </c>
      <c r="X28" s="30" t="n"/>
      <c r="Y28" s="30" t="n"/>
    </row>
  </sheetData>
  <mergeCells count="11">
    <mergeCell ref="A2:Y2"/>
    <mergeCell ref="A27:D27"/>
    <mergeCell ref="E4:O4"/>
    <mergeCell ref="A28:D28"/>
    <mergeCell ref="A4:D4"/>
    <mergeCell ref="V4:Y4"/>
    <mergeCell ref="S4:U4"/>
    <mergeCell ref="A1:Y1"/>
    <mergeCell ref="A26:D26"/>
    <mergeCell ref="A25:D25"/>
    <mergeCell ref="P4:R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7"/>
  <sheetViews>
    <sheetView showGridLines="1"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8" customWidth="1" min="3" max="3"/>
    <col width="26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1" customWidth="1" min="14" max="14"/>
    <col width="15" customWidth="1" min="15" max="15"/>
    <col width="11" customWidth="1" min="16" max="16"/>
    <col width="11" customWidth="1" min="17" max="17"/>
  </cols>
  <sheetData>
    <row r="1">
      <c r="A1" s="1" t="inlineStr">
        <is>
          <t>📝 แบบบันทึกคะแนนเก็บแบบฝึกหัดและชิ้นงาน (เรียงลำดับตามหลักสูตร) - ห้อง 1</t>
        </is>
      </c>
    </row>
    <row r="2">
      <c r="A2" s="3" t="inlineStr">
        <is>
          <t>วิชา 21909-1006 พื้นฐานการสร้างเว็บไซต์  |  แบบฝึกหัดที่ 1 - 8 + โปรเจค Figma + งานกลุ่ม  |  เต็ม 100 คะแนน</t>
        </is>
      </c>
    </row>
    <row r="4" ht="36" customHeight="1">
      <c r="A4" s="32" t="inlineStr">
        <is>
          <t>เลขที่</t>
        </is>
      </c>
      <c r="B4" s="32" t="inlineStr">
        <is>
          <t>รหัสนักศึกษา</t>
        </is>
      </c>
      <c r="C4" s="32" t="inlineStr">
        <is>
          <t>รหัส</t>
        </is>
      </c>
      <c r="D4" s="32" t="inlineStr">
        <is>
          <t>ชื่อ - นามสกุล</t>
        </is>
      </c>
      <c r="E4" s="32" t="inlineStr">
        <is>
          <t>แบบฝึกหัดที่ 1
แนะนำตัวเอง (10)</t>
        </is>
      </c>
      <c r="F4" s="32" t="inlineStr">
        <is>
          <t>แบบฝึกหัดที่ 2
ใบงาน (10)</t>
        </is>
      </c>
      <c r="G4" s="32" t="inlineStr">
        <is>
          <t>แบบฝึกหัดที่ 3
CSS 3 รูปแบบ (10)</t>
        </is>
      </c>
      <c r="H4" s="32" t="inlineStr">
        <is>
          <t>แบบฝึกหัดที่ 4
colspan+rowspan (10)</t>
        </is>
      </c>
      <c r="I4" s="32" t="inlineStr">
        <is>
          <t>แบบฝึกหัดที่ 5
Form สมัครสมาชิก (10)</t>
        </is>
      </c>
      <c r="J4" s="32" t="inlineStr">
        <is>
          <t>แบบฝึกหัดที่ 6
Box Model (10)</t>
        </is>
      </c>
      <c r="K4" s="32" t="inlineStr">
        <is>
          <t>แบบฝึกหัดที่ 7
Flexbox Layout (10)</t>
        </is>
      </c>
      <c r="L4" s="32" t="inlineStr">
        <is>
          <t>แบบฝึกหัดที่ 8
Grid Layout (10)</t>
        </is>
      </c>
      <c r="M4" s="32" t="inlineStr">
        <is>
          <t>โปรเจคเว็บ
Figma Design (10)</t>
        </is>
      </c>
      <c r="N4" s="32" t="inlineStr">
        <is>
          <t>งานกลุ่ม
(10)</t>
        </is>
      </c>
      <c r="O4" s="32" t="inlineStr">
        <is>
          <t>รวมคะแนนเก็บ
(เต็ม 100)</t>
        </is>
      </c>
      <c r="P4" s="32" t="inlineStr">
        <is>
          <t>ร้อยละ
(%)</t>
        </is>
      </c>
      <c r="Q4" s="32" t="inlineStr">
        <is>
          <t>ลำดับที่
(Rank)</t>
        </is>
      </c>
    </row>
    <row r="5" ht="24" customHeight="1">
      <c r="A5" s="11" t="n"/>
      <c r="B5" s="11" t="n"/>
      <c r="C5" s="11" t="n"/>
      <c r="D5" s="33" t="inlineStr">
        <is>
          <t>คะแนนเต็ม</t>
        </is>
      </c>
      <c r="E5" s="11" t="n">
        <v>10</v>
      </c>
      <c r="F5" s="11" t="n">
        <v>10</v>
      </c>
      <c r="G5" s="11" t="n">
        <v>10</v>
      </c>
      <c r="H5" s="11" t="n">
        <v>10</v>
      </c>
      <c r="I5" s="11" t="n">
        <v>10</v>
      </c>
      <c r="J5" s="11" t="n">
        <v>10</v>
      </c>
      <c r="K5" s="11" t="n">
        <v>10</v>
      </c>
      <c r="L5" s="11" t="n">
        <v>10</v>
      </c>
      <c r="M5" s="11" t="n">
        <v>10</v>
      </c>
      <c r="N5" s="11" t="n">
        <v>10</v>
      </c>
      <c r="O5" s="11" t="n">
        <v>100</v>
      </c>
      <c r="P5" s="11" t="inlineStr">
        <is>
          <t>100.0%</t>
        </is>
      </c>
      <c r="Q5" s="11" t="inlineStr">
        <is>
          <t>-</t>
        </is>
      </c>
    </row>
    <row r="6" ht="22" customHeight="1">
      <c r="A6" s="8" t="n">
        <v>1</v>
      </c>
      <c r="B6" s="8" t="inlineStr">
        <is>
          <t>69219090001</t>
        </is>
      </c>
      <c r="C6" s="8" t="inlineStr">
        <is>
          <t>001</t>
        </is>
      </c>
      <c r="D6" s="9" t="inlineStr">
        <is>
          <t>นายกฤศมน บุญเปี่ยม</t>
        </is>
      </c>
      <c r="E6" s="10" t="n">
        <v>7</v>
      </c>
      <c r="F6" s="10" t="n">
        <v>9</v>
      </c>
      <c r="G6" s="8" t="n"/>
      <c r="H6" s="10" t="n">
        <v>10</v>
      </c>
      <c r="I6" s="8" t="n"/>
      <c r="J6" s="10" t="n">
        <v>10</v>
      </c>
      <c r="K6" s="10" t="n">
        <v>10</v>
      </c>
      <c r="L6" s="10" t="n">
        <v>10</v>
      </c>
      <c r="M6" s="10" t="n">
        <v>10</v>
      </c>
      <c r="N6" s="8" t="n"/>
      <c r="O6" s="11">
        <f>IF(COUNT(E6:N6)&gt;0, SUM(E6:N6), "-")</f>
        <v/>
      </c>
      <c r="P6" s="8">
        <f>IF(ISNUMBER(O6), ROUND(O6/$O$5*100, 1) &amp; "%", "-")</f>
        <v/>
      </c>
      <c r="Q6" s="12">
        <f>IF(ISNUMBER(O6), RANK(O6, $O$6:$O$23), "-")</f>
        <v/>
      </c>
    </row>
    <row r="7" ht="22" customHeight="1">
      <c r="A7" s="17" t="n">
        <v>2</v>
      </c>
      <c r="B7" s="17" t="inlineStr">
        <is>
          <t>69219090002</t>
        </is>
      </c>
      <c r="C7" s="17" t="inlineStr">
        <is>
          <t>002</t>
        </is>
      </c>
      <c r="D7" s="18" t="inlineStr">
        <is>
          <t>เด็กชายกษธณชล การรักเรียน</t>
        </is>
      </c>
      <c r="E7" s="19" t="n">
        <v>8</v>
      </c>
      <c r="F7" s="19" t="n">
        <v>10</v>
      </c>
      <c r="G7" s="17" t="n"/>
      <c r="H7" s="19" t="n">
        <v>10</v>
      </c>
      <c r="I7" s="17" t="n"/>
      <c r="J7" s="19" t="n">
        <v>10</v>
      </c>
      <c r="K7" s="17" t="n"/>
      <c r="L7" s="19" t="n">
        <v>10</v>
      </c>
      <c r="M7" s="19" t="n">
        <v>10</v>
      </c>
      <c r="N7" s="17" t="n"/>
      <c r="O7" s="11">
        <f>IF(COUNT(E7:N7)&gt;0, SUM(E7:N7), "-")</f>
        <v/>
      </c>
      <c r="P7" s="17">
        <f>IF(ISNUMBER(O7), ROUND(O7/$O$5*100, 1) &amp; "%", "-")</f>
        <v/>
      </c>
      <c r="Q7" s="20">
        <f>IF(ISNUMBER(O7), RANK(O7, $O$6:$O$23), "-")</f>
        <v/>
      </c>
    </row>
    <row r="8" ht="22" customHeight="1">
      <c r="A8" s="8" t="n">
        <v>3</v>
      </c>
      <c r="B8" s="8" t="inlineStr">
        <is>
          <t>69219090003</t>
        </is>
      </c>
      <c r="C8" s="8" t="inlineStr">
        <is>
          <t>003</t>
        </is>
      </c>
      <c r="D8" s="9" t="inlineStr">
        <is>
          <t>นางสาวกัญญ์วรา ทองดี</t>
        </is>
      </c>
      <c r="E8" s="10" t="n">
        <v>8</v>
      </c>
      <c r="F8" s="10" t="n">
        <v>9</v>
      </c>
      <c r="G8" s="10" t="n">
        <v>10</v>
      </c>
      <c r="H8" s="10" t="n">
        <v>10</v>
      </c>
      <c r="I8" s="10" t="n">
        <v>10</v>
      </c>
      <c r="J8" s="10" t="n">
        <v>10</v>
      </c>
      <c r="K8" s="10" t="n">
        <v>10</v>
      </c>
      <c r="L8" s="10" t="n">
        <v>10</v>
      </c>
      <c r="M8" s="10" t="n">
        <v>10</v>
      </c>
      <c r="N8" s="8" t="n"/>
      <c r="O8" s="11">
        <f>IF(COUNT(E8:N8)&gt;0, SUM(E8:N8), "-")</f>
        <v/>
      </c>
      <c r="P8" s="8">
        <f>IF(ISNUMBER(O8), ROUND(O8/$O$5*100, 1) &amp; "%", "-")</f>
        <v/>
      </c>
      <c r="Q8" s="12">
        <f>IF(ISNUMBER(O8), RANK(O8, $O$6:$O$23), "-")</f>
        <v/>
      </c>
    </row>
    <row r="9" ht="22" customHeight="1">
      <c r="A9" s="17" t="n">
        <v>4</v>
      </c>
      <c r="B9" s="17" t="inlineStr">
        <is>
          <t>69219090004</t>
        </is>
      </c>
      <c r="C9" s="17" t="inlineStr">
        <is>
          <t>004</t>
        </is>
      </c>
      <c r="D9" s="18" t="inlineStr">
        <is>
          <t>นายกันธรักษ์ พานทอง</t>
        </is>
      </c>
      <c r="E9" s="19" t="n">
        <v>7</v>
      </c>
      <c r="F9" s="19" t="n">
        <v>10</v>
      </c>
      <c r="G9" s="19" t="n">
        <v>10</v>
      </c>
      <c r="H9" s="19" t="n">
        <v>10</v>
      </c>
      <c r="I9" s="19" t="n">
        <v>10</v>
      </c>
      <c r="J9" s="19" t="n">
        <v>10</v>
      </c>
      <c r="K9" s="19" t="n">
        <v>10</v>
      </c>
      <c r="L9" s="19" t="n">
        <v>10</v>
      </c>
      <c r="M9" s="19" t="n">
        <v>10</v>
      </c>
      <c r="N9" s="17" t="n"/>
      <c r="O9" s="11">
        <f>IF(COUNT(E9:N9)&gt;0, SUM(E9:N9), "-")</f>
        <v/>
      </c>
      <c r="P9" s="17">
        <f>IF(ISNUMBER(O9), ROUND(O9/$O$5*100, 1) &amp; "%", "-")</f>
        <v/>
      </c>
      <c r="Q9" s="20">
        <f>IF(ISNUMBER(O9), RANK(O9, $O$6:$O$23), "-")</f>
        <v/>
      </c>
    </row>
    <row r="10" ht="22" customHeight="1">
      <c r="A10" s="8" t="n">
        <v>5</v>
      </c>
      <c r="B10" s="8" t="inlineStr">
        <is>
          <t>69219090005</t>
        </is>
      </c>
      <c r="C10" s="8" t="inlineStr">
        <is>
          <t>005</t>
        </is>
      </c>
      <c r="D10" s="9" t="inlineStr">
        <is>
          <t>เด็กชายคุณานนต์ พิมพ์จันทร์</t>
        </is>
      </c>
      <c r="E10" s="10" t="n">
        <v>7</v>
      </c>
      <c r="F10" s="10" t="n">
        <v>10</v>
      </c>
      <c r="G10" s="10" t="n">
        <v>10</v>
      </c>
      <c r="H10" s="10" t="n">
        <v>10</v>
      </c>
      <c r="I10" s="10" t="n">
        <v>10</v>
      </c>
      <c r="J10" s="10" t="n">
        <v>10</v>
      </c>
      <c r="K10" s="8" t="n"/>
      <c r="L10" s="10" t="n">
        <v>10</v>
      </c>
      <c r="M10" s="10" t="n">
        <v>10</v>
      </c>
      <c r="N10" s="8" t="n"/>
      <c r="O10" s="11">
        <f>IF(COUNT(E10:N10)&gt;0, SUM(E10:N10), "-")</f>
        <v/>
      </c>
      <c r="P10" s="8">
        <f>IF(ISNUMBER(O10), ROUND(O10/$O$5*100, 1) &amp; "%", "-")</f>
        <v/>
      </c>
      <c r="Q10" s="12">
        <f>IF(ISNUMBER(O10), RANK(O10, $O$6:$O$23), "-")</f>
        <v/>
      </c>
    </row>
    <row r="11" ht="22" customHeight="1">
      <c r="A11" s="17" t="n">
        <v>6</v>
      </c>
      <c r="B11" s="17" t="inlineStr">
        <is>
          <t>69219090006</t>
        </is>
      </c>
      <c r="C11" s="17" t="inlineStr">
        <is>
          <t>006</t>
        </is>
      </c>
      <c r="D11" s="18" t="inlineStr">
        <is>
          <t>เด็กชายเฉลิมวงศ์ มะลิใย</t>
        </is>
      </c>
      <c r="E11" s="19" t="n">
        <v>9</v>
      </c>
      <c r="F11" s="19" t="n">
        <v>9</v>
      </c>
      <c r="G11" s="17" t="n"/>
      <c r="H11" s="19" t="n">
        <v>10</v>
      </c>
      <c r="I11" s="19" t="n">
        <v>10</v>
      </c>
      <c r="J11" s="19" t="n">
        <v>10</v>
      </c>
      <c r="K11" s="19" t="n">
        <v>10</v>
      </c>
      <c r="L11" s="17" t="n"/>
      <c r="M11" s="19" t="n">
        <v>10</v>
      </c>
      <c r="N11" s="17" t="n"/>
      <c r="O11" s="11">
        <f>IF(COUNT(E11:N11)&gt;0, SUM(E11:N11), "-")</f>
        <v/>
      </c>
      <c r="P11" s="17">
        <f>IF(ISNUMBER(O11), ROUND(O11/$O$5*100, 1) &amp; "%", "-")</f>
        <v/>
      </c>
      <c r="Q11" s="20">
        <f>IF(ISNUMBER(O11), RANK(O11, $O$6:$O$23), "-")</f>
        <v/>
      </c>
    </row>
    <row r="12" ht="22" customHeight="1">
      <c r="A12" s="8" t="n">
        <v>7</v>
      </c>
      <c r="B12" s="8" t="inlineStr">
        <is>
          <t>69219090007</t>
        </is>
      </c>
      <c r="C12" s="8" t="inlineStr">
        <is>
          <t>007</t>
        </is>
      </c>
      <c r="D12" s="9" t="inlineStr">
        <is>
          <t>นางสาวชลดา เรือนแก้ว</t>
        </is>
      </c>
      <c r="E12" s="10" t="n">
        <v>6</v>
      </c>
      <c r="F12" s="10" t="n">
        <v>9</v>
      </c>
      <c r="G12" s="8" t="n"/>
      <c r="H12" s="10" t="n">
        <v>10</v>
      </c>
      <c r="I12" s="8" t="n"/>
      <c r="J12" s="8" t="n"/>
      <c r="K12" s="10" t="n">
        <v>10</v>
      </c>
      <c r="L12" s="8" t="n"/>
      <c r="M12" s="8" t="n"/>
      <c r="N12" s="8" t="n"/>
      <c r="O12" s="11">
        <f>IF(COUNT(E12:N12)&gt;0, SUM(E12:N12), "-")</f>
        <v/>
      </c>
      <c r="P12" s="8">
        <f>IF(ISNUMBER(O12), ROUND(O12/$O$5*100, 1) &amp; "%", "-")</f>
        <v/>
      </c>
      <c r="Q12" s="12">
        <f>IF(ISNUMBER(O12), RANK(O12, $O$6:$O$23), "-")</f>
        <v/>
      </c>
    </row>
    <row r="13" ht="22" customHeight="1">
      <c r="A13" s="17" t="n">
        <v>8</v>
      </c>
      <c r="B13" s="17" t="inlineStr">
        <is>
          <t>69219090008</t>
        </is>
      </c>
      <c r="C13" s="17" t="inlineStr">
        <is>
          <t>008</t>
        </is>
      </c>
      <c r="D13" s="18" t="inlineStr">
        <is>
          <t>นายณัฐกรณ์ กองทอง</t>
        </is>
      </c>
      <c r="E13" s="19" t="n">
        <v>5</v>
      </c>
      <c r="F13" s="19" t="n">
        <v>8</v>
      </c>
      <c r="G13" s="19" t="n">
        <v>10</v>
      </c>
      <c r="H13" s="19" t="n">
        <v>10</v>
      </c>
      <c r="I13" s="19" t="n">
        <v>10</v>
      </c>
      <c r="J13" s="17" t="n"/>
      <c r="K13" s="17" t="n"/>
      <c r="L13" s="17" t="n"/>
      <c r="M13" s="17" t="n"/>
      <c r="N13" s="17" t="n"/>
      <c r="O13" s="11">
        <f>IF(COUNT(E13:N13)&gt;0, SUM(E13:N13), "-")</f>
        <v/>
      </c>
      <c r="P13" s="17">
        <f>IF(ISNUMBER(O13), ROUND(O13/$O$5*100, 1) &amp; "%", "-")</f>
        <v/>
      </c>
      <c r="Q13" s="20">
        <f>IF(ISNUMBER(O13), RANK(O13, $O$6:$O$23), "-")</f>
        <v/>
      </c>
    </row>
    <row r="14" ht="22" customHeight="1">
      <c r="A14" s="8" t="n">
        <v>9</v>
      </c>
      <c r="B14" s="8" t="inlineStr">
        <is>
          <t>69219090009</t>
        </is>
      </c>
      <c r="C14" s="8" t="inlineStr">
        <is>
          <t>009</t>
        </is>
      </c>
      <c r="D14" s="9" t="inlineStr">
        <is>
          <t>นายณัฐพล ทวีทรัพย์</t>
        </is>
      </c>
      <c r="E14" s="10" t="n">
        <v>7</v>
      </c>
      <c r="F14" s="10" t="n">
        <v>9</v>
      </c>
      <c r="G14" s="10" t="n">
        <v>10</v>
      </c>
      <c r="H14" s="10" t="n">
        <v>10</v>
      </c>
      <c r="I14" s="10" t="n">
        <v>10</v>
      </c>
      <c r="J14" s="10" t="n">
        <v>10</v>
      </c>
      <c r="K14" s="10" t="n">
        <v>10</v>
      </c>
      <c r="L14" s="8" t="n"/>
      <c r="M14" s="10" t="n">
        <v>10</v>
      </c>
      <c r="N14" s="8" t="n"/>
      <c r="O14" s="11">
        <f>IF(COUNT(E14:N14)&gt;0, SUM(E14:N14), "-")</f>
        <v/>
      </c>
      <c r="P14" s="8">
        <f>IF(ISNUMBER(O14), ROUND(O14/$O$5*100, 1) &amp; "%", "-")</f>
        <v/>
      </c>
      <c r="Q14" s="12">
        <f>IF(ISNUMBER(O14), RANK(O14, $O$6:$O$23), "-")</f>
        <v/>
      </c>
    </row>
    <row r="15" ht="22" customHeight="1">
      <c r="A15" s="17" t="n">
        <v>10</v>
      </c>
      <c r="B15" s="17" t="inlineStr">
        <is>
          <t>69219090010</t>
        </is>
      </c>
      <c r="C15" s="17" t="inlineStr">
        <is>
          <t>010</t>
        </is>
      </c>
      <c r="D15" s="18" t="inlineStr">
        <is>
          <t>นายต้นตระการ เพชรภู่</t>
        </is>
      </c>
      <c r="E15" s="19" t="n">
        <v>8</v>
      </c>
      <c r="F15" s="19" t="n">
        <v>7</v>
      </c>
      <c r="G15" s="19" t="n">
        <v>10</v>
      </c>
      <c r="H15" s="17" t="n"/>
      <c r="I15" s="17" t="n"/>
      <c r="J15" s="19" t="n">
        <v>10</v>
      </c>
      <c r="K15" s="17" t="n"/>
      <c r="L15" s="19" t="n">
        <v>10</v>
      </c>
      <c r="M15" s="19" t="n">
        <v>10</v>
      </c>
      <c r="N15" s="17" t="n"/>
      <c r="O15" s="11">
        <f>IF(COUNT(E15:N15)&gt;0, SUM(E15:N15), "-")</f>
        <v/>
      </c>
      <c r="P15" s="17">
        <f>IF(ISNUMBER(O15), ROUND(O15/$O$5*100, 1) &amp; "%", "-")</f>
        <v/>
      </c>
      <c r="Q15" s="20">
        <f>IF(ISNUMBER(O15), RANK(O15, $O$6:$O$23), "-")</f>
        <v/>
      </c>
    </row>
    <row r="16" ht="22" customHeight="1">
      <c r="A16" s="8" t="n">
        <v>11</v>
      </c>
      <c r="B16" s="8" t="inlineStr">
        <is>
          <t>69219090011</t>
        </is>
      </c>
      <c r="C16" s="8" t="inlineStr">
        <is>
          <t>011</t>
        </is>
      </c>
      <c r="D16" s="9" t="inlineStr">
        <is>
          <t>นายตฤณ ตาดทอง</t>
        </is>
      </c>
      <c r="E16" s="10" t="n">
        <v>9</v>
      </c>
      <c r="F16" s="10" t="n">
        <v>9</v>
      </c>
      <c r="G16" s="10" t="n">
        <v>10</v>
      </c>
      <c r="H16" s="10" t="n">
        <v>10</v>
      </c>
      <c r="I16" s="10" t="n">
        <v>10</v>
      </c>
      <c r="J16" s="10" t="n">
        <v>10</v>
      </c>
      <c r="K16" s="10" t="n">
        <v>10</v>
      </c>
      <c r="L16" s="10" t="n">
        <v>10</v>
      </c>
      <c r="M16" s="10" t="n">
        <v>10</v>
      </c>
      <c r="N16" s="8" t="n"/>
      <c r="O16" s="11">
        <f>IF(COUNT(E16:N16)&gt;0, SUM(E16:N16), "-")</f>
        <v/>
      </c>
      <c r="P16" s="8">
        <f>IF(ISNUMBER(O16), ROUND(O16/$O$5*100, 1) &amp; "%", "-")</f>
        <v/>
      </c>
      <c r="Q16" s="12">
        <f>IF(ISNUMBER(O16), RANK(O16, $O$6:$O$23), "-")</f>
        <v/>
      </c>
    </row>
    <row r="17" ht="22" customHeight="1">
      <c r="A17" s="17" t="n">
        <v>12</v>
      </c>
      <c r="B17" s="17" t="inlineStr">
        <is>
          <t>69219090012</t>
        </is>
      </c>
      <c r="C17" s="17" t="inlineStr">
        <is>
          <t>012</t>
        </is>
      </c>
      <c r="D17" s="18" t="inlineStr">
        <is>
          <t>นายธนพัฒน์ บุญเรือง</t>
        </is>
      </c>
      <c r="E17" s="19" t="n">
        <v>8</v>
      </c>
      <c r="F17" s="19" t="n">
        <v>9</v>
      </c>
      <c r="G17" s="19" t="n">
        <v>10</v>
      </c>
      <c r="H17" s="19" t="n">
        <v>10</v>
      </c>
      <c r="I17" s="19" t="n">
        <v>10</v>
      </c>
      <c r="J17" s="19" t="n">
        <v>10</v>
      </c>
      <c r="K17" s="19" t="n">
        <v>10</v>
      </c>
      <c r="L17" s="19" t="n">
        <v>10</v>
      </c>
      <c r="M17" s="19" t="n">
        <v>10</v>
      </c>
      <c r="N17" s="17" t="n"/>
      <c r="O17" s="11">
        <f>IF(COUNT(E17:N17)&gt;0, SUM(E17:N17), "-")</f>
        <v/>
      </c>
      <c r="P17" s="17">
        <f>IF(ISNUMBER(O17), ROUND(O17/$O$5*100, 1) &amp; "%", "-")</f>
        <v/>
      </c>
      <c r="Q17" s="20">
        <f>IF(ISNUMBER(O17), RANK(O17, $O$6:$O$23), "-")</f>
        <v/>
      </c>
    </row>
    <row r="18" ht="22" customHeight="1">
      <c r="A18" s="8" t="n">
        <v>13</v>
      </c>
      <c r="B18" s="8" t="inlineStr">
        <is>
          <t>69219090013</t>
        </is>
      </c>
      <c r="C18" s="8" t="inlineStr">
        <is>
          <t>013</t>
        </is>
      </c>
      <c r="D18" s="9" t="inlineStr">
        <is>
          <t>นายธีรภัทร วาสิทธิ์เทพ</t>
        </is>
      </c>
      <c r="E18" s="10" t="n">
        <v>8</v>
      </c>
      <c r="F18" s="10" t="n">
        <v>10</v>
      </c>
      <c r="G18" s="10" t="n">
        <v>10</v>
      </c>
      <c r="H18" s="10" t="n">
        <v>10</v>
      </c>
      <c r="I18" s="10" t="n">
        <v>10</v>
      </c>
      <c r="J18" s="10" t="n">
        <v>10</v>
      </c>
      <c r="K18" s="10" t="n">
        <v>10</v>
      </c>
      <c r="L18" s="8" t="n"/>
      <c r="M18" s="10" t="n">
        <v>10</v>
      </c>
      <c r="N18" s="8" t="n"/>
      <c r="O18" s="11">
        <f>IF(COUNT(E18:N18)&gt;0, SUM(E18:N18), "-")</f>
        <v/>
      </c>
      <c r="P18" s="8">
        <f>IF(ISNUMBER(O18), ROUND(O18/$O$5*100, 1) &amp; "%", "-")</f>
        <v/>
      </c>
      <c r="Q18" s="12">
        <f>IF(ISNUMBER(O18), RANK(O18, $O$6:$O$23), "-")</f>
        <v/>
      </c>
    </row>
    <row r="19" ht="22" customHeight="1">
      <c r="A19" s="17" t="n">
        <v>14</v>
      </c>
      <c r="B19" s="17" t="inlineStr">
        <is>
          <t>69219090014</t>
        </is>
      </c>
      <c r="C19" s="17" t="inlineStr">
        <is>
          <t>014</t>
        </is>
      </c>
      <c r="D19" s="18" t="inlineStr">
        <is>
          <t>นายภูเบต ควันทอง</t>
        </is>
      </c>
      <c r="E19" s="17" t="n"/>
      <c r="F19" s="19" t="n">
        <v>9</v>
      </c>
      <c r="G19" s="17" t="n"/>
      <c r="H19" s="17" t="n"/>
      <c r="I19" s="17" t="n"/>
      <c r="J19" s="17" t="n"/>
      <c r="K19" s="17" t="n"/>
      <c r="L19" s="17" t="n"/>
      <c r="M19" s="17" t="n"/>
      <c r="N19" s="17" t="n"/>
      <c r="O19" s="11">
        <f>IF(COUNT(E19:N19)&gt;0, SUM(E19:N19), "-")</f>
        <v/>
      </c>
      <c r="P19" s="17">
        <f>IF(ISNUMBER(O19), ROUND(O19/$O$5*100, 1) &amp; "%", "-")</f>
        <v/>
      </c>
      <c r="Q19" s="20">
        <f>IF(ISNUMBER(O19), RANK(O19, $O$6:$O$23), "-")</f>
        <v/>
      </c>
    </row>
    <row r="20" ht="22" customHeight="1">
      <c r="A20" s="8" t="n">
        <v>15</v>
      </c>
      <c r="B20" s="8" t="inlineStr">
        <is>
          <t>69219090015</t>
        </is>
      </c>
      <c r="C20" s="8" t="inlineStr">
        <is>
          <t>015</t>
        </is>
      </c>
      <c r="D20" s="9" t="inlineStr">
        <is>
          <t>นายภูวพิศิษฐ์ ใหลสกุล</t>
        </is>
      </c>
      <c r="E20" s="10" t="n">
        <v>7</v>
      </c>
      <c r="F20" s="10" t="n">
        <v>8</v>
      </c>
      <c r="G20" s="10" t="n">
        <v>10</v>
      </c>
      <c r="H20" s="10" t="n">
        <v>10</v>
      </c>
      <c r="I20" s="10" t="n">
        <v>10</v>
      </c>
      <c r="J20" s="10" t="n">
        <v>10</v>
      </c>
      <c r="K20" s="10" t="n">
        <v>10</v>
      </c>
      <c r="L20" s="10" t="n">
        <v>10</v>
      </c>
      <c r="M20" s="10" t="n">
        <v>10</v>
      </c>
      <c r="N20" s="8" t="n"/>
      <c r="O20" s="11">
        <f>IF(COUNT(E20:N20)&gt;0, SUM(E20:N20), "-")</f>
        <v/>
      </c>
      <c r="P20" s="8">
        <f>IF(ISNUMBER(O20), ROUND(O20/$O$5*100, 1) &amp; "%", "-")</f>
        <v/>
      </c>
      <c r="Q20" s="12">
        <f>IF(ISNUMBER(O20), RANK(O20, $O$6:$O$23), "-")</f>
        <v/>
      </c>
    </row>
    <row r="21" ht="22" customHeight="1">
      <c r="A21" s="17" t="n">
        <v>16</v>
      </c>
      <c r="B21" s="17" t="inlineStr">
        <is>
          <t>69219090016</t>
        </is>
      </c>
      <c r="C21" s="17" t="inlineStr">
        <is>
          <t>016</t>
        </is>
      </c>
      <c r="D21" s="18" t="inlineStr">
        <is>
          <t>นางสาวมินตา บินอามัด</t>
        </is>
      </c>
      <c r="E21" s="19" t="n">
        <v>8</v>
      </c>
      <c r="F21" s="19" t="n">
        <v>9</v>
      </c>
      <c r="G21" s="19" t="n">
        <v>10</v>
      </c>
      <c r="H21" s="19" t="n">
        <v>10</v>
      </c>
      <c r="I21" s="19" t="n">
        <v>10</v>
      </c>
      <c r="J21" s="19" t="n">
        <v>10</v>
      </c>
      <c r="K21" s="19" t="n">
        <v>10</v>
      </c>
      <c r="L21" s="19" t="n">
        <v>10</v>
      </c>
      <c r="M21" s="19" t="n">
        <v>10</v>
      </c>
      <c r="N21" s="17" t="n"/>
      <c r="O21" s="11">
        <f>IF(COUNT(E21:N21)&gt;0, SUM(E21:N21), "-")</f>
        <v/>
      </c>
      <c r="P21" s="17">
        <f>IF(ISNUMBER(O21), ROUND(O21/$O$5*100, 1) &amp; "%", "-")</f>
        <v/>
      </c>
      <c r="Q21" s="20">
        <f>IF(ISNUMBER(O21), RANK(O21, $O$6:$O$23), "-")</f>
        <v/>
      </c>
    </row>
    <row r="22" ht="22" customHeight="1">
      <c r="A22" s="8" t="n">
        <v>17</v>
      </c>
      <c r="B22" s="8" t="inlineStr">
        <is>
          <t>69219090017</t>
        </is>
      </c>
      <c r="C22" s="8" t="inlineStr">
        <is>
          <t>017</t>
        </is>
      </c>
      <c r="D22" s="9" t="inlineStr">
        <is>
          <t>นายอัรฮัม ยูนุ</t>
        </is>
      </c>
      <c r="E22" s="10" t="n">
        <v>9</v>
      </c>
      <c r="F22" s="10" t="n">
        <v>10</v>
      </c>
      <c r="G22" s="10" t="n">
        <v>10</v>
      </c>
      <c r="H22" s="10" t="n">
        <v>10</v>
      </c>
      <c r="I22" s="10" t="n">
        <v>10</v>
      </c>
      <c r="J22" s="10" t="n">
        <v>10</v>
      </c>
      <c r="K22" s="10" t="n">
        <v>10</v>
      </c>
      <c r="L22" s="10" t="n">
        <v>10</v>
      </c>
      <c r="M22" s="10" t="n">
        <v>10</v>
      </c>
      <c r="N22" s="8" t="n"/>
      <c r="O22" s="11">
        <f>IF(COUNT(E22:N22)&gt;0, SUM(E22:N22), "-")</f>
        <v/>
      </c>
      <c r="P22" s="8">
        <f>IF(ISNUMBER(O22), ROUND(O22/$O$5*100, 1) &amp; "%", "-")</f>
        <v/>
      </c>
      <c r="Q22" s="12">
        <f>IF(ISNUMBER(O22), RANK(O22, $O$6:$O$23), "-")</f>
        <v/>
      </c>
    </row>
    <row r="23" ht="22" customHeight="1">
      <c r="A23" s="17" t="n">
        <v>18</v>
      </c>
      <c r="B23" s="17" t="inlineStr">
        <is>
          <t>69219090018</t>
        </is>
      </c>
      <c r="C23" s="17" t="inlineStr">
        <is>
          <t>018</t>
        </is>
      </c>
      <c r="D23" s="18" t="inlineStr">
        <is>
          <t>นายอานนท์ณัฏฐ์ ไวพจน์</t>
        </is>
      </c>
      <c r="E23" s="19" t="n">
        <v>5</v>
      </c>
      <c r="F23" s="19" t="n">
        <v>9</v>
      </c>
      <c r="G23" s="19" t="n">
        <v>10</v>
      </c>
      <c r="H23" s="19" t="n">
        <v>10</v>
      </c>
      <c r="I23" s="19" t="n">
        <v>10</v>
      </c>
      <c r="J23" s="19" t="n">
        <v>10</v>
      </c>
      <c r="K23" s="19" t="n">
        <v>10</v>
      </c>
      <c r="L23" s="19" t="n">
        <v>10</v>
      </c>
      <c r="M23" s="19" t="n">
        <v>10</v>
      </c>
      <c r="N23" s="17" t="n"/>
      <c r="O23" s="11">
        <f>IF(COUNT(E23:N23)&gt;0, SUM(E23:N23), "-")</f>
        <v/>
      </c>
      <c r="P23" s="17">
        <f>IF(ISNUMBER(O23), ROUND(O23/$O$5*100, 1) &amp; "%", "-")</f>
        <v/>
      </c>
      <c r="Q23" s="20">
        <f>IF(ISNUMBER(O23), RANK(O23, $O$6:$O$23), "-")</f>
        <v/>
      </c>
    </row>
    <row r="24" ht="22" customHeight="1">
      <c r="A24" s="26" t="inlineStr">
        <is>
          <t>คะแนนเฉลี่ย (Average)</t>
        </is>
      </c>
      <c r="B24" s="27" t="n"/>
      <c r="C24" s="27" t="n"/>
      <c r="D24" s="27" t="n"/>
      <c r="E24" s="28">
        <f>IFERROR(ROUND(AVERAGE(E6:E23), 2), "-")</f>
        <v/>
      </c>
      <c r="F24" s="28">
        <f>IFERROR(ROUND(AVERAGE(F6:F23), 2), "-")</f>
        <v/>
      </c>
      <c r="G24" s="28">
        <f>IFERROR(ROUND(AVERAGE(G6:G23), 2), "-")</f>
        <v/>
      </c>
      <c r="H24" s="28">
        <f>IFERROR(ROUND(AVERAGE(H6:H23), 2), "-")</f>
        <v/>
      </c>
      <c r="I24" s="28">
        <f>IFERROR(ROUND(AVERAGE(I6:I23), 2), "-")</f>
        <v/>
      </c>
      <c r="J24" s="28">
        <f>IFERROR(ROUND(AVERAGE(J6:J23), 2), "-")</f>
        <v/>
      </c>
      <c r="K24" s="28">
        <f>IFERROR(ROUND(AVERAGE(K6:K23), 2), "-")</f>
        <v/>
      </c>
      <c r="L24" s="28">
        <f>IFERROR(ROUND(AVERAGE(L6:L23), 2), "-")</f>
        <v/>
      </c>
      <c r="M24" s="28">
        <f>IFERROR(ROUND(AVERAGE(M6:M23), 2), "-")</f>
        <v/>
      </c>
      <c r="N24" s="28">
        <f>IFERROR(ROUND(AVERAGE(N6:N23), 2), "-")</f>
        <v/>
      </c>
      <c r="O24" s="28">
        <f>IFERROR(ROUND(AVERAGE(O6:O23), 2), "-")</f>
        <v/>
      </c>
      <c r="P24" s="27" t="n"/>
      <c r="Q24" s="27" t="n"/>
    </row>
    <row r="25" ht="22" customHeight="1">
      <c r="A25" s="26" t="inlineStr">
        <is>
          <t>คะแนนสูงสุด (Max)</t>
        </is>
      </c>
      <c r="B25" s="27" t="n"/>
      <c r="C25" s="27" t="n"/>
      <c r="D25" s="27" t="n"/>
      <c r="E25" s="28">
        <f>IFERROR(MAX(E6:E23), "-")</f>
        <v/>
      </c>
      <c r="F25" s="28">
        <f>IFERROR(MAX(F6:F23), "-")</f>
        <v/>
      </c>
      <c r="G25" s="28">
        <f>IFERROR(MAX(G6:G23), "-")</f>
        <v/>
      </c>
      <c r="H25" s="28">
        <f>IFERROR(MAX(H6:H23), "-")</f>
        <v/>
      </c>
      <c r="I25" s="28">
        <f>IFERROR(MAX(I6:I23), "-")</f>
        <v/>
      </c>
      <c r="J25" s="28">
        <f>IFERROR(MAX(J6:J23), "-")</f>
        <v/>
      </c>
      <c r="K25" s="28">
        <f>IFERROR(MAX(K6:K23), "-")</f>
        <v/>
      </c>
      <c r="L25" s="28">
        <f>IFERROR(MAX(L6:L23), "-")</f>
        <v/>
      </c>
      <c r="M25" s="28">
        <f>IFERROR(MAX(M6:M23), "-")</f>
        <v/>
      </c>
      <c r="N25" s="28">
        <f>IFERROR(MAX(N6:N23), "-")</f>
        <v/>
      </c>
      <c r="O25" s="28">
        <f>IFERROR(MAX(O6:O23), "-")</f>
        <v/>
      </c>
      <c r="P25" s="27" t="n"/>
      <c r="Q25" s="27" t="n"/>
    </row>
    <row r="26" ht="22" customHeight="1">
      <c r="A26" s="26" t="inlineStr">
        <is>
          <t>คะแนนต่ำสุด (Min)</t>
        </is>
      </c>
      <c r="B26" s="27" t="n"/>
      <c r="C26" s="27" t="n"/>
      <c r="D26" s="27" t="n"/>
      <c r="E26" s="28">
        <f>IFERROR(MIN(E6:E23), "-")</f>
        <v/>
      </c>
      <c r="F26" s="28">
        <f>IFERROR(MIN(F6:F23), "-")</f>
        <v/>
      </c>
      <c r="G26" s="28">
        <f>IFERROR(MIN(G6:G23), "-")</f>
        <v/>
      </c>
      <c r="H26" s="28">
        <f>IFERROR(MIN(H6:H23), "-")</f>
        <v/>
      </c>
      <c r="I26" s="28">
        <f>IFERROR(MIN(I6:I23), "-")</f>
        <v/>
      </c>
      <c r="J26" s="28">
        <f>IFERROR(MIN(J6:J23), "-")</f>
        <v/>
      </c>
      <c r="K26" s="28">
        <f>IFERROR(MIN(K6:K23), "-")</f>
        <v/>
      </c>
      <c r="L26" s="28">
        <f>IFERROR(MIN(L6:L23), "-")</f>
        <v/>
      </c>
      <c r="M26" s="28">
        <f>IFERROR(MIN(M6:M23), "-")</f>
        <v/>
      </c>
      <c r="N26" s="28">
        <f>IFERROR(MIN(N6:N23), "-")</f>
        <v/>
      </c>
      <c r="O26" s="28">
        <f>IFERROR(MIN(O6:O23), "-")</f>
        <v/>
      </c>
      <c r="P26" s="27" t="n"/>
      <c r="Q26" s="27" t="n"/>
    </row>
    <row r="27" ht="22" customHeight="1">
      <c r="A27" s="29" t="inlineStr">
        <is>
          <t>ส่วนเบี่ยงเบนมาตรฐาน (S.D.)</t>
        </is>
      </c>
      <c r="B27" s="30" t="n"/>
      <c r="C27" s="30" t="n"/>
      <c r="D27" s="30" t="n"/>
      <c r="E27" s="31">
        <f>IFERROR(ROUND(STDEV.P(E6:E23), 2), "-")</f>
        <v/>
      </c>
      <c r="F27" s="31">
        <f>IFERROR(ROUND(STDEV.P(F6:F23), 2), "-")</f>
        <v/>
      </c>
      <c r="G27" s="31">
        <f>IFERROR(ROUND(STDEV.P(G6:G23), 2), "-")</f>
        <v/>
      </c>
      <c r="H27" s="31">
        <f>IFERROR(ROUND(STDEV.P(H6:H23), 2), "-")</f>
        <v/>
      </c>
      <c r="I27" s="31">
        <f>IFERROR(ROUND(STDEV.P(I6:I23), 2), "-")</f>
        <v/>
      </c>
      <c r="J27" s="31">
        <f>IFERROR(ROUND(STDEV.P(J6:J23), 2), "-")</f>
        <v/>
      </c>
      <c r="K27" s="31">
        <f>IFERROR(ROUND(STDEV.P(K6:K23), 2), "-")</f>
        <v/>
      </c>
      <c r="L27" s="31">
        <f>IFERROR(ROUND(STDEV.P(L6:L23), 2), "-")</f>
        <v/>
      </c>
      <c r="M27" s="31">
        <f>IFERROR(ROUND(STDEV.P(M6:M23), 2), "-")</f>
        <v/>
      </c>
      <c r="N27" s="31">
        <f>IFERROR(ROUND(STDEV.P(N6:N23), 2), "-")</f>
        <v/>
      </c>
      <c r="O27" s="31">
        <f>IFERROR(ROUND(STDEV.P(O6:O23), 2), "-")</f>
        <v/>
      </c>
      <c r="P27" s="30" t="n"/>
      <c r="Q27" s="30" t="n"/>
    </row>
  </sheetData>
  <mergeCells count="6">
    <mergeCell ref="A27:D27"/>
    <mergeCell ref="A26:D26"/>
    <mergeCell ref="A2:Q2"/>
    <mergeCell ref="A25:D25"/>
    <mergeCell ref="A24:D24"/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5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28" customWidth="1" min="3" max="3"/>
    <col width="16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12" customWidth="1" min="35" max="35"/>
    <col width="12" customWidth="1" min="36" max="36"/>
  </cols>
  <sheetData>
    <row r="1">
      <c r="A1" s="34" t="inlineStr">
        <is>
          <t>📝 รายละเอียดผลการตรวจข้อสอบรายข้อ - ห้อง 1 (18 คน)</t>
        </is>
      </c>
    </row>
    <row r="2">
      <c r="A2" s="35" t="inlineStr">
        <is>
          <t>วิชา 21909-1006 พื้นฐานการสร้างเว็บไซต์  |  ตอนที่ 1 แบบทดสอบปรนัย 30 ข้อ (ข้อละ 1 คะแนนเต็ม 30)</t>
        </is>
      </c>
    </row>
    <row r="3"/>
    <row r="4">
      <c r="A4" s="36" t="inlineStr">
        <is>
          <t>ข้อมูลนักศึกษา</t>
        </is>
      </c>
      <c r="B4" s="37" t="n"/>
      <c r="C4" s="37" t="n"/>
      <c r="D4" s="37" t="n"/>
      <c r="E4" s="38" t="inlineStr">
        <is>
          <t>ผลการตอบข้อสอบรายข้อ (ข้อ 1 - 30) [เฉลยกำกับด้านบน]</t>
        </is>
      </c>
      <c r="F4" s="37" t="n"/>
      <c r="G4" s="37" t="n"/>
      <c r="H4" s="37" t="n"/>
      <c r="I4" s="37" t="n"/>
      <c r="J4" s="37" t="n"/>
      <c r="K4" s="37" t="n"/>
      <c r="L4" s="37" t="n"/>
      <c r="M4" s="37" t="n"/>
      <c r="N4" s="37" t="n"/>
      <c r="O4" s="37" t="n"/>
      <c r="P4" s="37" t="n"/>
      <c r="Q4" s="37" t="n"/>
      <c r="R4" s="37" t="n"/>
      <c r="S4" s="37" t="n"/>
      <c r="T4" s="37" t="n"/>
      <c r="U4" s="37" t="n"/>
      <c r="V4" s="37" t="n"/>
      <c r="W4" s="37" t="n"/>
      <c r="X4" s="37" t="n"/>
      <c r="Y4" s="37" t="n"/>
      <c r="Z4" s="37" t="n"/>
      <c r="AA4" s="37" t="n"/>
      <c r="AB4" s="37" t="n"/>
      <c r="AC4" s="37" t="n"/>
      <c r="AD4" s="37" t="n"/>
      <c r="AE4" s="37" t="n"/>
      <c r="AF4" s="37" t="n"/>
      <c r="AG4" s="37" t="n"/>
      <c r="AH4" s="37" t="n"/>
      <c r="AI4" s="36" t="inlineStr">
        <is>
          <t>สรุปคะแนน</t>
        </is>
      </c>
      <c r="AJ4" s="37" t="n"/>
    </row>
    <row r="5">
      <c r="A5" s="39" t="inlineStr">
        <is>
          <t>เลขที่</t>
        </is>
      </c>
      <c r="B5" s="39" t="inlineStr">
        <is>
          <t>รหัส</t>
        </is>
      </c>
      <c r="C5" s="39" t="inlineStr">
        <is>
          <t>ชื่อ - นามสกุล</t>
        </is>
      </c>
      <c r="D5" s="39" t="inlineStr">
        <is>
          <t>ไฟล์ภาพ</t>
        </is>
      </c>
      <c r="E5" s="39" t="inlineStr">
        <is>
          <t>ข.1</t>
        </is>
      </c>
      <c r="F5" s="39" t="inlineStr">
        <is>
          <t>ข.2</t>
        </is>
      </c>
      <c r="G5" s="39" t="inlineStr">
        <is>
          <t>ข.3</t>
        </is>
      </c>
      <c r="H5" s="39" t="inlineStr">
        <is>
          <t>ข.4</t>
        </is>
      </c>
      <c r="I5" s="39" t="inlineStr">
        <is>
          <t>ข.5</t>
        </is>
      </c>
      <c r="J5" s="39" t="inlineStr">
        <is>
          <t>ข.6</t>
        </is>
      </c>
      <c r="K5" s="39" t="inlineStr">
        <is>
          <t>ข.7</t>
        </is>
      </c>
      <c r="L5" s="39" t="inlineStr">
        <is>
          <t>ข.8</t>
        </is>
      </c>
      <c r="M5" s="39" t="inlineStr">
        <is>
          <t>ข.9</t>
        </is>
      </c>
      <c r="N5" s="39" t="inlineStr">
        <is>
          <t>ข.10</t>
        </is>
      </c>
      <c r="O5" s="39" t="inlineStr">
        <is>
          <t>ข.11</t>
        </is>
      </c>
      <c r="P5" s="39" t="inlineStr">
        <is>
          <t>ข.12</t>
        </is>
      </c>
      <c r="Q5" s="39" t="inlineStr">
        <is>
          <t>ข.13</t>
        </is>
      </c>
      <c r="R5" s="39" t="inlineStr">
        <is>
          <t>ข.14</t>
        </is>
      </c>
      <c r="S5" s="39" t="inlineStr">
        <is>
          <t>ข.15</t>
        </is>
      </c>
      <c r="T5" s="39" t="inlineStr">
        <is>
          <t>ข.16</t>
        </is>
      </c>
      <c r="U5" s="39" t="inlineStr">
        <is>
          <t>ข.17</t>
        </is>
      </c>
      <c r="V5" s="39" t="inlineStr">
        <is>
          <t>ข.18</t>
        </is>
      </c>
      <c r="W5" s="39" t="inlineStr">
        <is>
          <t>ข.19</t>
        </is>
      </c>
      <c r="X5" s="39" t="inlineStr">
        <is>
          <t>ข.20</t>
        </is>
      </c>
      <c r="Y5" s="39" t="inlineStr">
        <is>
          <t>ข.21</t>
        </is>
      </c>
      <c r="Z5" s="39" t="inlineStr">
        <is>
          <t>ข.22</t>
        </is>
      </c>
      <c r="AA5" s="39" t="inlineStr">
        <is>
          <t>ข.23</t>
        </is>
      </c>
      <c r="AB5" s="39" t="inlineStr">
        <is>
          <t>ข.24</t>
        </is>
      </c>
      <c r="AC5" s="39" t="inlineStr">
        <is>
          <t>ข.25</t>
        </is>
      </c>
      <c r="AD5" s="39" t="inlineStr">
        <is>
          <t>ข.26</t>
        </is>
      </c>
      <c r="AE5" s="39" t="inlineStr">
        <is>
          <t>ข.27</t>
        </is>
      </c>
      <c r="AF5" s="39" t="inlineStr">
        <is>
          <t>ข.28</t>
        </is>
      </c>
      <c r="AG5" s="39" t="inlineStr">
        <is>
          <t>ข.29</t>
        </is>
      </c>
      <c r="AH5" s="39" t="inlineStr">
        <is>
          <t>ข.30</t>
        </is>
      </c>
      <c r="AI5" s="39" t="inlineStr">
        <is>
          <t>รวม (30)</t>
        </is>
      </c>
      <c r="AJ5" s="39" t="inlineStr">
        <is>
          <t>ร้อยละ</t>
        </is>
      </c>
    </row>
    <row r="6">
      <c r="A6" s="40" t="inlineStr">
        <is>
          <t>-</t>
        </is>
      </c>
      <c r="B6" s="40" t="inlineStr">
        <is>
          <t>KEY</t>
        </is>
      </c>
      <c r="C6" s="41" t="inlineStr">
        <is>
          <t>เฉลยคำตอบทางการ</t>
        </is>
      </c>
      <c r="D6" s="40" t="inlineStr">
        <is>
          <t>Rubric Key</t>
        </is>
      </c>
      <c r="E6" s="42" t="inlineStr">
        <is>
          <t>ข</t>
        </is>
      </c>
      <c r="F6" s="42" t="inlineStr">
        <is>
          <t>ก</t>
        </is>
      </c>
      <c r="G6" s="42" t="inlineStr">
        <is>
          <t>ค</t>
        </is>
      </c>
      <c r="H6" s="42" t="inlineStr">
        <is>
          <t>ง</t>
        </is>
      </c>
      <c r="I6" s="42" t="inlineStr">
        <is>
          <t>ข</t>
        </is>
      </c>
      <c r="J6" s="42" t="inlineStr">
        <is>
          <t>ก</t>
        </is>
      </c>
      <c r="K6" s="42" t="inlineStr">
        <is>
          <t>ค</t>
        </is>
      </c>
      <c r="L6" s="42" t="inlineStr">
        <is>
          <t>ข</t>
        </is>
      </c>
      <c r="M6" s="42" t="inlineStr">
        <is>
          <t>ง</t>
        </is>
      </c>
      <c r="N6" s="42" t="inlineStr">
        <is>
          <t>ก</t>
        </is>
      </c>
      <c r="O6" s="42" t="inlineStr">
        <is>
          <t>ค</t>
        </is>
      </c>
      <c r="P6" s="42" t="inlineStr">
        <is>
          <t>ข</t>
        </is>
      </c>
      <c r="Q6" s="42" t="inlineStr">
        <is>
          <t>ก</t>
        </is>
      </c>
      <c r="R6" s="42" t="inlineStr">
        <is>
          <t>ง</t>
        </is>
      </c>
      <c r="S6" s="42" t="inlineStr">
        <is>
          <t>ข</t>
        </is>
      </c>
      <c r="T6" s="42" t="inlineStr">
        <is>
          <t>ค</t>
        </is>
      </c>
      <c r="U6" s="42" t="inlineStr">
        <is>
          <t>ก</t>
        </is>
      </c>
      <c r="V6" s="42" t="inlineStr">
        <is>
          <t>ง</t>
        </is>
      </c>
      <c r="W6" s="42" t="inlineStr">
        <is>
          <t>ข</t>
        </is>
      </c>
      <c r="X6" s="42" t="inlineStr">
        <is>
          <t>ค</t>
        </is>
      </c>
      <c r="Y6" s="42" t="inlineStr">
        <is>
          <t>ก</t>
        </is>
      </c>
      <c r="Z6" s="42" t="inlineStr">
        <is>
          <t>ค</t>
        </is>
      </c>
      <c r="AA6" s="42" t="inlineStr">
        <is>
          <t>ง</t>
        </is>
      </c>
      <c r="AB6" s="42" t="inlineStr">
        <is>
          <t>ข</t>
        </is>
      </c>
      <c r="AC6" s="42" t="inlineStr">
        <is>
          <t>ก</t>
        </is>
      </c>
      <c r="AD6" s="42" t="inlineStr">
        <is>
          <t>ง</t>
        </is>
      </c>
      <c r="AE6" s="42" t="inlineStr">
        <is>
          <t>ค</t>
        </is>
      </c>
      <c r="AF6" s="42" t="inlineStr">
        <is>
          <t>ข</t>
        </is>
      </c>
      <c r="AG6" s="42" t="inlineStr">
        <is>
          <t>ง</t>
        </is>
      </c>
      <c r="AH6" s="42" t="inlineStr">
        <is>
          <t>ค</t>
        </is>
      </c>
      <c r="AI6" s="40" t="n">
        <v>30</v>
      </c>
      <c r="AJ6" s="40" t="inlineStr">
        <is>
          <t>100.0%</t>
        </is>
      </c>
    </row>
    <row r="7">
      <c r="A7" s="43" t="n">
        <v>1</v>
      </c>
      <c r="B7" s="43" t="inlineStr">
        <is>
          <t>001</t>
        </is>
      </c>
      <c r="C7" s="44" t="inlineStr">
        <is>
          <t>นายกฤศมน บุญเปี่ยม</t>
        </is>
      </c>
      <c r="D7" s="43" t="inlineStr">
        <is>
          <t>S__8118291_0.jpg</t>
        </is>
      </c>
      <c r="E7" s="45" t="inlineStr">
        <is>
          <t>ข</t>
        </is>
      </c>
      <c r="F7" s="46" t="inlineStr">
        <is>
          <t>ค</t>
        </is>
      </c>
      <c r="G7" s="45" t="inlineStr">
        <is>
          <t>ค</t>
        </is>
      </c>
      <c r="H7" s="45" t="inlineStr">
        <is>
          <t>ง</t>
        </is>
      </c>
      <c r="I7" s="45" t="inlineStr">
        <is>
          <t>ข</t>
        </is>
      </c>
      <c r="J7" s="45" t="inlineStr">
        <is>
          <t>ก</t>
        </is>
      </c>
      <c r="K7" s="45" t="inlineStr">
        <is>
          <t>ค</t>
        </is>
      </c>
      <c r="L7" s="45" t="inlineStr">
        <is>
          <t>ข</t>
        </is>
      </c>
      <c r="M7" s="45" t="inlineStr">
        <is>
          <t>ง</t>
        </is>
      </c>
      <c r="N7" s="45" t="inlineStr">
        <is>
          <t>ก</t>
        </is>
      </c>
      <c r="O7" s="46" t="inlineStr">
        <is>
          <t>ข</t>
        </is>
      </c>
      <c r="P7" s="46" t="inlineStr">
        <is>
          <t>ง</t>
        </is>
      </c>
      <c r="Q7" s="45" t="inlineStr">
        <is>
          <t>ก</t>
        </is>
      </c>
      <c r="R7" s="45" t="inlineStr">
        <is>
          <t>ง</t>
        </is>
      </c>
      <c r="S7" s="45" t="inlineStr">
        <is>
          <t>ข</t>
        </is>
      </c>
      <c r="T7" s="45" t="inlineStr">
        <is>
          <t>ค</t>
        </is>
      </c>
      <c r="U7" s="45" t="inlineStr">
        <is>
          <t>ก</t>
        </is>
      </c>
      <c r="V7" s="46" t="inlineStr">
        <is>
          <t>ค</t>
        </is>
      </c>
      <c r="W7" s="45" t="inlineStr">
        <is>
          <t>ข</t>
        </is>
      </c>
      <c r="X7" s="45" t="inlineStr">
        <is>
          <t>ค</t>
        </is>
      </c>
      <c r="Y7" s="45" t="inlineStr">
        <is>
          <t>ก</t>
        </is>
      </c>
      <c r="Z7" s="46" t="inlineStr">
        <is>
          <t>ก</t>
        </is>
      </c>
      <c r="AA7" s="46" t="inlineStr">
        <is>
          <t>ข</t>
        </is>
      </c>
      <c r="AB7" s="46" t="inlineStr">
        <is>
          <t>ก</t>
        </is>
      </c>
      <c r="AC7" s="45" t="inlineStr">
        <is>
          <t>ก</t>
        </is>
      </c>
      <c r="AD7" s="45" t="inlineStr">
        <is>
          <t>ง</t>
        </is>
      </c>
      <c r="AE7" s="46" t="inlineStr">
        <is>
          <t>ข</t>
        </is>
      </c>
      <c r="AF7" s="45" t="inlineStr">
        <is>
          <t>ข</t>
        </is>
      </c>
      <c r="AG7" s="46" t="inlineStr">
        <is>
          <t>ก</t>
        </is>
      </c>
      <c r="AH7" s="46" t="inlineStr">
        <is>
          <t>ง</t>
        </is>
      </c>
      <c r="AI7" s="47" t="n">
        <v>20</v>
      </c>
      <c r="AJ7" s="43" t="inlineStr">
        <is>
          <t>66.67%</t>
        </is>
      </c>
    </row>
    <row r="8">
      <c r="A8" s="43" t="n">
        <v>2</v>
      </c>
      <c r="B8" s="43" t="inlineStr">
        <is>
          <t>002</t>
        </is>
      </c>
      <c r="C8" s="44" t="inlineStr">
        <is>
          <t>เด็กชายกษธณชล การรักเรียน</t>
        </is>
      </c>
      <c r="D8" s="43" t="inlineStr">
        <is>
          <t>S__8118284_0.jpg</t>
        </is>
      </c>
      <c r="E8" s="45" t="inlineStr">
        <is>
          <t>ข</t>
        </is>
      </c>
      <c r="F8" s="45" t="inlineStr">
        <is>
          <t>ก</t>
        </is>
      </c>
      <c r="G8" s="46" t="inlineStr">
        <is>
          <t>ข</t>
        </is>
      </c>
      <c r="H8" s="45" t="inlineStr">
        <is>
          <t>ง</t>
        </is>
      </c>
      <c r="I8" s="46" t="inlineStr">
        <is>
          <t>ก</t>
        </is>
      </c>
      <c r="J8" s="46" t="inlineStr">
        <is>
          <t>ค</t>
        </is>
      </c>
      <c r="K8" s="46" t="inlineStr">
        <is>
          <t>ง</t>
        </is>
      </c>
      <c r="L8" s="46" t="inlineStr">
        <is>
          <t>ง</t>
        </is>
      </c>
      <c r="M8" s="46" t="inlineStr">
        <is>
          <t>ข</t>
        </is>
      </c>
      <c r="N8" s="46" t="inlineStr">
        <is>
          <t>ข</t>
        </is>
      </c>
      <c r="O8" s="46" t="inlineStr">
        <is>
          <t>ง</t>
        </is>
      </c>
      <c r="P8" s="46" t="inlineStr">
        <is>
          <t>ง</t>
        </is>
      </c>
      <c r="Q8" s="46" t="inlineStr">
        <is>
          <t>ข</t>
        </is>
      </c>
      <c r="R8" s="46" t="inlineStr">
        <is>
          <t>ค</t>
        </is>
      </c>
      <c r="S8" s="45" t="inlineStr">
        <is>
          <t>ข</t>
        </is>
      </c>
      <c r="T8" s="45" t="inlineStr">
        <is>
          <t>ค</t>
        </is>
      </c>
      <c r="U8" s="45" t="inlineStr">
        <is>
          <t>ก</t>
        </is>
      </c>
      <c r="V8" s="45" t="inlineStr">
        <is>
          <t>ง</t>
        </is>
      </c>
      <c r="W8" s="45" t="inlineStr">
        <is>
          <t>ข</t>
        </is>
      </c>
      <c r="X8" s="45" t="inlineStr">
        <is>
          <t>ค</t>
        </is>
      </c>
      <c r="Y8" s="46" t="inlineStr">
        <is>
          <t>ง</t>
        </is>
      </c>
      <c r="Z8" s="46" t="inlineStr">
        <is>
          <t>ง</t>
        </is>
      </c>
      <c r="AA8" s="46" t="inlineStr">
        <is>
          <t>ข</t>
        </is>
      </c>
      <c r="AB8" s="45" t="inlineStr">
        <is>
          <t>ข</t>
        </is>
      </c>
      <c r="AC8" s="46" t="inlineStr">
        <is>
          <t>ง</t>
        </is>
      </c>
      <c r="AD8" s="46" t="inlineStr">
        <is>
          <t>ก</t>
        </is>
      </c>
      <c r="AE8" s="45" t="inlineStr">
        <is>
          <t>ค</t>
        </is>
      </c>
      <c r="AF8" s="45" t="inlineStr">
        <is>
          <t>ข</t>
        </is>
      </c>
      <c r="AG8" s="45" t="inlineStr">
        <is>
          <t>ง</t>
        </is>
      </c>
      <c r="AH8" s="45" t="inlineStr">
        <is>
          <t>ค</t>
        </is>
      </c>
      <c r="AI8" s="47" t="n">
        <v>14</v>
      </c>
      <c r="AJ8" s="43" t="inlineStr">
        <is>
          <t>46.67%</t>
        </is>
      </c>
    </row>
    <row r="9">
      <c r="A9" s="43" t="n">
        <v>3</v>
      </c>
      <c r="B9" s="43" t="inlineStr">
        <is>
          <t>003</t>
        </is>
      </c>
      <c r="C9" s="44" t="inlineStr">
        <is>
          <t>นางสาวกัญญ์วรา ทองดี</t>
        </is>
      </c>
      <c r="D9" s="43" t="inlineStr">
        <is>
          <t>S__8118292_0.jpg</t>
        </is>
      </c>
      <c r="E9" s="46" t="inlineStr">
        <is>
          <t>ก</t>
        </is>
      </c>
      <c r="F9" s="45" t="inlineStr">
        <is>
          <t>ก</t>
        </is>
      </c>
      <c r="G9" s="45" t="inlineStr">
        <is>
          <t>ค</t>
        </is>
      </c>
      <c r="H9" s="45" t="inlineStr">
        <is>
          <t>ง</t>
        </is>
      </c>
      <c r="I9" s="45" t="inlineStr">
        <is>
          <t>ข</t>
        </is>
      </c>
      <c r="J9" s="45" t="inlineStr">
        <is>
          <t>ก</t>
        </is>
      </c>
      <c r="K9" s="45" t="inlineStr">
        <is>
          <t>ค</t>
        </is>
      </c>
      <c r="L9" s="45" t="inlineStr">
        <is>
          <t>ข</t>
        </is>
      </c>
      <c r="M9" s="45" t="inlineStr">
        <is>
          <t>ง</t>
        </is>
      </c>
      <c r="N9" s="45" t="inlineStr">
        <is>
          <t>ก</t>
        </is>
      </c>
      <c r="O9" s="45" t="inlineStr">
        <is>
          <t>ค</t>
        </is>
      </c>
      <c r="P9" s="45" t="inlineStr">
        <is>
          <t>ข</t>
        </is>
      </c>
      <c r="Q9" s="45" t="inlineStr">
        <is>
          <t>ก</t>
        </is>
      </c>
      <c r="R9" s="45" t="inlineStr">
        <is>
          <t>ง</t>
        </is>
      </c>
      <c r="S9" s="45" t="inlineStr">
        <is>
          <t>ข</t>
        </is>
      </c>
      <c r="T9" s="45" t="inlineStr">
        <is>
          <t>ค</t>
        </is>
      </c>
      <c r="U9" s="45" t="inlineStr">
        <is>
          <t>ก</t>
        </is>
      </c>
      <c r="V9" s="45" t="inlineStr">
        <is>
          <t>ง</t>
        </is>
      </c>
      <c r="W9" s="45" t="inlineStr">
        <is>
          <t>ข</t>
        </is>
      </c>
      <c r="X9" s="45" t="inlineStr">
        <is>
          <t>ค</t>
        </is>
      </c>
      <c r="Y9" s="45" t="inlineStr">
        <is>
          <t>ก</t>
        </is>
      </c>
      <c r="Z9" s="45" t="inlineStr">
        <is>
          <t>ค</t>
        </is>
      </c>
      <c r="AA9" s="45" t="inlineStr">
        <is>
          <t>ง</t>
        </is>
      </c>
      <c r="AB9" s="45" t="inlineStr">
        <is>
          <t>ข</t>
        </is>
      </c>
      <c r="AC9" s="46" t="inlineStr">
        <is>
          <t>ค</t>
        </is>
      </c>
      <c r="AD9" s="45" t="inlineStr">
        <is>
          <t>ง</t>
        </is>
      </c>
      <c r="AE9" s="46" t="inlineStr">
        <is>
          <t>ก</t>
        </is>
      </c>
      <c r="AF9" s="45" t="inlineStr">
        <is>
          <t>ข</t>
        </is>
      </c>
      <c r="AG9" s="46" t="inlineStr">
        <is>
          <t>ข</t>
        </is>
      </c>
      <c r="AH9" s="45" t="inlineStr">
        <is>
          <t>ค</t>
        </is>
      </c>
      <c r="AI9" s="47" t="n">
        <v>26</v>
      </c>
      <c r="AJ9" s="43" t="inlineStr">
        <is>
          <t>86.67%</t>
        </is>
      </c>
    </row>
    <row r="10">
      <c r="A10" s="43" t="n">
        <v>4</v>
      </c>
      <c r="B10" s="43" t="inlineStr">
        <is>
          <t>004</t>
        </is>
      </c>
      <c r="C10" s="44" t="inlineStr">
        <is>
          <t>นายกันธรักษ์ พานทอง</t>
        </is>
      </c>
      <c r="D10" s="43" t="inlineStr">
        <is>
          <t>S__8118288_0.jpg</t>
        </is>
      </c>
      <c r="E10" s="45" t="inlineStr">
        <is>
          <t>ข</t>
        </is>
      </c>
      <c r="F10" s="46" t="inlineStr">
        <is>
          <t>ค</t>
        </is>
      </c>
      <c r="G10" s="45" t="inlineStr">
        <is>
          <t>ค</t>
        </is>
      </c>
      <c r="H10" s="45" t="inlineStr">
        <is>
          <t>ง</t>
        </is>
      </c>
      <c r="I10" s="45" t="inlineStr">
        <is>
          <t>ข</t>
        </is>
      </c>
      <c r="J10" s="45" t="inlineStr">
        <is>
          <t>ก</t>
        </is>
      </c>
      <c r="K10" s="46" t="inlineStr">
        <is>
          <t>ง</t>
        </is>
      </c>
      <c r="L10" s="46" t="inlineStr">
        <is>
          <t>ค</t>
        </is>
      </c>
      <c r="M10" s="45" t="inlineStr">
        <is>
          <t>ง</t>
        </is>
      </c>
      <c r="N10" s="45" t="inlineStr">
        <is>
          <t>ก</t>
        </is>
      </c>
      <c r="O10" s="45" t="inlineStr">
        <is>
          <t>ค</t>
        </is>
      </c>
      <c r="P10" s="46" t="inlineStr">
        <is>
          <t>ก</t>
        </is>
      </c>
      <c r="Q10" s="45" t="inlineStr">
        <is>
          <t>ก</t>
        </is>
      </c>
      <c r="R10" s="45" t="inlineStr">
        <is>
          <t>ง</t>
        </is>
      </c>
      <c r="S10" s="45" t="inlineStr">
        <is>
          <t>ข</t>
        </is>
      </c>
      <c r="T10" s="45" t="inlineStr">
        <is>
          <t>ค</t>
        </is>
      </c>
      <c r="U10" s="45" t="inlineStr">
        <is>
          <t>ก</t>
        </is>
      </c>
      <c r="V10" s="46" t="inlineStr">
        <is>
          <t>ก</t>
        </is>
      </c>
      <c r="W10" s="45" t="inlineStr">
        <is>
          <t>ข</t>
        </is>
      </c>
      <c r="X10" s="45" t="inlineStr">
        <is>
          <t>ค</t>
        </is>
      </c>
      <c r="Y10" s="45" t="inlineStr">
        <is>
          <t>ก</t>
        </is>
      </c>
      <c r="Z10" s="45" t="inlineStr">
        <is>
          <t>ค</t>
        </is>
      </c>
      <c r="AA10" s="46" t="inlineStr">
        <is>
          <t>ก</t>
        </is>
      </c>
      <c r="AB10" s="46" t="inlineStr">
        <is>
          <t>ก</t>
        </is>
      </c>
      <c r="AC10" s="46" t="inlineStr">
        <is>
          <t>ง</t>
        </is>
      </c>
      <c r="AD10" s="45" t="inlineStr">
        <is>
          <t>ง</t>
        </is>
      </c>
      <c r="AE10" s="46" t="inlineStr">
        <is>
          <t>ง</t>
        </is>
      </c>
      <c r="AF10" s="46" t="inlineStr">
        <is>
          <t>ก</t>
        </is>
      </c>
      <c r="AG10" s="46" t="inlineStr">
        <is>
          <t>ค</t>
        </is>
      </c>
      <c r="AH10" s="46" t="inlineStr">
        <is>
          <t>ข</t>
        </is>
      </c>
      <c r="AI10" s="47" t="n">
        <v>18</v>
      </c>
      <c r="AJ10" s="43" t="inlineStr">
        <is>
          <t>60.00%</t>
        </is>
      </c>
    </row>
    <row r="11">
      <c r="A11" s="43" t="n">
        <v>5</v>
      </c>
      <c r="B11" s="43" t="inlineStr">
        <is>
          <t>005</t>
        </is>
      </c>
      <c r="C11" s="44" t="inlineStr">
        <is>
          <t>เด็กชายคุณานนต์ พิมพ์จันทร์</t>
        </is>
      </c>
      <c r="D11" s="43" t="inlineStr">
        <is>
          <t>S__8118286_0.jpg</t>
        </is>
      </c>
      <c r="E11" s="45" t="inlineStr">
        <is>
          <t>ข</t>
        </is>
      </c>
      <c r="F11" s="45" t="inlineStr">
        <is>
          <t>ก</t>
        </is>
      </c>
      <c r="G11" s="45" t="inlineStr">
        <is>
          <t>ค</t>
        </is>
      </c>
      <c r="H11" s="45" t="inlineStr">
        <is>
          <t>ง</t>
        </is>
      </c>
      <c r="I11" s="45" t="inlineStr">
        <is>
          <t>ข</t>
        </is>
      </c>
      <c r="J11" s="45" t="inlineStr">
        <is>
          <t>ก</t>
        </is>
      </c>
      <c r="K11" s="46" t="inlineStr">
        <is>
          <t>ก</t>
        </is>
      </c>
      <c r="L11" s="45" t="inlineStr">
        <is>
          <t>ข</t>
        </is>
      </c>
      <c r="M11" s="46" t="inlineStr">
        <is>
          <t>ก</t>
        </is>
      </c>
      <c r="N11" s="45" t="inlineStr">
        <is>
          <t>ก</t>
        </is>
      </c>
      <c r="O11" s="45" t="inlineStr">
        <is>
          <t>ค</t>
        </is>
      </c>
      <c r="P11" s="45" t="inlineStr">
        <is>
          <t>ข</t>
        </is>
      </c>
      <c r="Q11" s="45" t="inlineStr">
        <is>
          <t>ก</t>
        </is>
      </c>
      <c r="R11" s="45" t="inlineStr">
        <is>
          <t>ง</t>
        </is>
      </c>
      <c r="S11" s="45" t="inlineStr">
        <is>
          <t>ข</t>
        </is>
      </c>
      <c r="T11" s="45" t="inlineStr">
        <is>
          <t>ค</t>
        </is>
      </c>
      <c r="U11" s="45" t="inlineStr">
        <is>
          <t>ก</t>
        </is>
      </c>
      <c r="V11" s="45" t="inlineStr">
        <is>
          <t>ง</t>
        </is>
      </c>
      <c r="W11" s="45" t="inlineStr">
        <is>
          <t>ข</t>
        </is>
      </c>
      <c r="X11" s="45" t="inlineStr">
        <is>
          <t>ค</t>
        </is>
      </c>
      <c r="Y11" s="45" t="inlineStr">
        <is>
          <t>ก</t>
        </is>
      </c>
      <c r="Z11" s="45" t="inlineStr">
        <is>
          <t>ค</t>
        </is>
      </c>
      <c r="AA11" s="45" t="inlineStr">
        <is>
          <t>ง</t>
        </is>
      </c>
      <c r="AB11" s="45" t="inlineStr">
        <is>
          <t>ข</t>
        </is>
      </c>
      <c r="AC11" s="45" t="inlineStr">
        <is>
          <t>ก</t>
        </is>
      </c>
      <c r="AD11" s="45" t="inlineStr">
        <is>
          <t>ง</t>
        </is>
      </c>
      <c r="AE11" s="45" t="inlineStr">
        <is>
          <t>ค</t>
        </is>
      </c>
      <c r="AF11" s="45" t="inlineStr">
        <is>
          <t>ข</t>
        </is>
      </c>
      <c r="AG11" s="46" t="inlineStr">
        <is>
          <t>ก</t>
        </is>
      </c>
      <c r="AH11" s="45" t="inlineStr">
        <is>
          <t>ค</t>
        </is>
      </c>
      <c r="AI11" s="47" t="n">
        <v>27</v>
      </c>
      <c r="AJ11" s="43" t="inlineStr">
        <is>
          <t>90.00%</t>
        </is>
      </c>
    </row>
    <row r="12">
      <c r="A12" s="43" t="n">
        <v>6</v>
      </c>
      <c r="B12" s="43" t="inlineStr">
        <is>
          <t>006</t>
        </is>
      </c>
      <c r="C12" s="44" t="inlineStr">
        <is>
          <t>เด็กชายเฉลิมวงศ์ มะลิใย</t>
        </is>
      </c>
      <c r="D12" s="43" t="inlineStr">
        <is>
          <t>S__8118280_0.jpg</t>
        </is>
      </c>
      <c r="E12" s="45" t="inlineStr">
        <is>
          <t>ข</t>
        </is>
      </c>
      <c r="F12" s="45" t="inlineStr">
        <is>
          <t>ก</t>
        </is>
      </c>
      <c r="G12" s="46" t="inlineStr">
        <is>
          <t>ข</t>
        </is>
      </c>
      <c r="H12" s="45" t="inlineStr">
        <is>
          <t>ง</t>
        </is>
      </c>
      <c r="I12" s="46" t="inlineStr">
        <is>
          <t>ก</t>
        </is>
      </c>
      <c r="J12" s="45" t="inlineStr">
        <is>
          <t>ก</t>
        </is>
      </c>
      <c r="K12" s="45" t="inlineStr">
        <is>
          <t>ค</t>
        </is>
      </c>
      <c r="L12" s="45" t="inlineStr">
        <is>
          <t>ข</t>
        </is>
      </c>
      <c r="M12" s="45" t="inlineStr">
        <is>
          <t>ง</t>
        </is>
      </c>
      <c r="N12" s="45" t="inlineStr">
        <is>
          <t>ก</t>
        </is>
      </c>
      <c r="O12" s="45" t="inlineStr">
        <is>
          <t>ค</t>
        </is>
      </c>
      <c r="P12" s="46" t="inlineStr">
        <is>
          <t>ง</t>
        </is>
      </c>
      <c r="Q12" s="46" t="inlineStr">
        <is>
          <t>ง</t>
        </is>
      </c>
      <c r="R12" s="46" t="inlineStr">
        <is>
          <t>ค</t>
        </is>
      </c>
      <c r="S12" s="45" t="inlineStr">
        <is>
          <t>ข</t>
        </is>
      </c>
      <c r="T12" s="45" t="inlineStr">
        <is>
          <t>ค</t>
        </is>
      </c>
      <c r="U12" s="45" t="inlineStr">
        <is>
          <t>ก</t>
        </is>
      </c>
      <c r="V12" s="45" t="inlineStr">
        <is>
          <t>ง</t>
        </is>
      </c>
      <c r="W12" s="45" t="inlineStr">
        <is>
          <t>ข</t>
        </is>
      </c>
      <c r="X12" s="45" t="inlineStr">
        <is>
          <t>ค</t>
        </is>
      </c>
      <c r="Y12" s="45" t="inlineStr">
        <is>
          <t>ก</t>
        </is>
      </c>
      <c r="Z12" s="45" t="inlineStr">
        <is>
          <t>ค</t>
        </is>
      </c>
      <c r="AA12" s="45" t="inlineStr">
        <is>
          <t>ง</t>
        </is>
      </c>
      <c r="AB12" s="46" t="inlineStr">
        <is>
          <t>ก</t>
        </is>
      </c>
      <c r="AC12" s="45" t="inlineStr">
        <is>
          <t>ก</t>
        </is>
      </c>
      <c r="AD12" s="46" t="inlineStr">
        <is>
          <t>ข</t>
        </is>
      </c>
      <c r="AE12" s="46" t="inlineStr">
        <is>
          <t>ก</t>
        </is>
      </c>
      <c r="AF12" s="45" t="inlineStr">
        <is>
          <t>ข</t>
        </is>
      </c>
      <c r="AG12" s="45" t="inlineStr">
        <is>
          <t>ง</t>
        </is>
      </c>
      <c r="AH12" s="45" t="inlineStr">
        <is>
          <t>ค</t>
        </is>
      </c>
      <c r="AI12" s="47" t="n">
        <v>22</v>
      </c>
      <c r="AJ12" s="43" t="inlineStr">
        <is>
          <t>73.33%</t>
        </is>
      </c>
    </row>
    <row r="13">
      <c r="A13" s="43" t="n">
        <v>7</v>
      </c>
      <c r="B13" s="43" t="inlineStr">
        <is>
          <t>007</t>
        </is>
      </c>
      <c r="C13" s="44" t="inlineStr">
        <is>
          <t>นางสาวชลดา เรือนแก้ว</t>
        </is>
      </c>
      <c r="D13" s="43" t="inlineStr">
        <is>
          <t>S__8118285_0.jpg</t>
        </is>
      </c>
      <c r="E13" s="45" t="inlineStr">
        <is>
          <t>ข</t>
        </is>
      </c>
      <c r="F13" s="46" t="inlineStr">
        <is>
          <t>ง</t>
        </is>
      </c>
      <c r="G13" s="46" t="inlineStr">
        <is>
          <t>ข</t>
        </is>
      </c>
      <c r="H13" s="46" t="inlineStr">
        <is>
          <t>ก</t>
        </is>
      </c>
      <c r="I13" s="45" t="inlineStr">
        <is>
          <t>ข</t>
        </is>
      </c>
      <c r="J13" s="45" t="inlineStr">
        <is>
          <t>ก</t>
        </is>
      </c>
      <c r="K13" s="45" t="inlineStr">
        <is>
          <t>ค</t>
        </is>
      </c>
      <c r="L13" s="45" t="inlineStr">
        <is>
          <t>ข</t>
        </is>
      </c>
      <c r="M13" s="46" t="inlineStr">
        <is>
          <t>ค</t>
        </is>
      </c>
      <c r="N13" s="45" t="inlineStr">
        <is>
          <t>ก</t>
        </is>
      </c>
      <c r="O13" s="46" t="inlineStr">
        <is>
          <t>ง</t>
        </is>
      </c>
      <c r="P13" s="46" t="inlineStr">
        <is>
          <t>ง</t>
        </is>
      </c>
      <c r="Q13" s="46" t="inlineStr">
        <is>
          <t>ค</t>
        </is>
      </c>
      <c r="R13" s="46" t="inlineStr">
        <is>
          <t>ค</t>
        </is>
      </c>
      <c r="S13" s="45" t="inlineStr">
        <is>
          <t>ข</t>
        </is>
      </c>
      <c r="T13" s="45" t="inlineStr">
        <is>
          <t>ค</t>
        </is>
      </c>
      <c r="U13" s="45" t="inlineStr">
        <is>
          <t>ก</t>
        </is>
      </c>
      <c r="V13" s="46" t="inlineStr">
        <is>
          <t>ก</t>
        </is>
      </c>
      <c r="W13" s="45" t="inlineStr">
        <is>
          <t>ข</t>
        </is>
      </c>
      <c r="X13" s="45" t="inlineStr">
        <is>
          <t>ค</t>
        </is>
      </c>
      <c r="Y13" s="45" t="inlineStr">
        <is>
          <t>ก</t>
        </is>
      </c>
      <c r="Z13" s="46" t="inlineStr">
        <is>
          <t>ก</t>
        </is>
      </c>
      <c r="AA13" s="46" t="inlineStr">
        <is>
          <t>ข</t>
        </is>
      </c>
      <c r="AB13" s="46" t="inlineStr">
        <is>
          <t>ง</t>
        </is>
      </c>
      <c r="AC13" s="46" t="inlineStr">
        <is>
          <t>ง</t>
        </is>
      </c>
      <c r="AD13" s="45" t="inlineStr">
        <is>
          <t>ง</t>
        </is>
      </c>
      <c r="AE13" s="45" t="inlineStr">
        <is>
          <t>ค</t>
        </is>
      </c>
      <c r="AF13" s="46" t="inlineStr">
        <is>
          <t>ก</t>
        </is>
      </c>
      <c r="AG13" s="45" t="inlineStr">
        <is>
          <t>ง</t>
        </is>
      </c>
      <c r="AH13" s="46" t="inlineStr">
        <is>
          <t>ข</t>
        </is>
      </c>
      <c r="AI13" s="47" t="n">
        <v>15</v>
      </c>
      <c r="AJ13" s="43" t="inlineStr">
        <is>
          <t>50.00%</t>
        </is>
      </c>
    </row>
    <row r="14">
      <c r="A14" s="43" t="n">
        <v>8</v>
      </c>
      <c r="B14" s="43" t="inlineStr">
        <is>
          <t>008</t>
        </is>
      </c>
      <c r="C14" s="44" t="inlineStr">
        <is>
          <t>นายณัฐกรณ์ กองทอง</t>
        </is>
      </c>
      <c r="D14" s="43" t="inlineStr">
        <is>
          <t>ขาดสอบ</t>
        </is>
      </c>
      <c r="E14" s="48" t="inlineStr">
        <is>
          <t>-</t>
        </is>
      </c>
      <c r="F14" s="48" t="inlineStr">
        <is>
          <t>-</t>
        </is>
      </c>
      <c r="G14" s="48" t="inlineStr">
        <is>
          <t>-</t>
        </is>
      </c>
      <c r="H14" s="48" t="inlineStr">
        <is>
          <t>-</t>
        </is>
      </c>
      <c r="I14" s="48" t="inlineStr">
        <is>
          <t>-</t>
        </is>
      </c>
      <c r="J14" s="48" t="inlineStr">
        <is>
          <t>-</t>
        </is>
      </c>
      <c r="K14" s="48" t="inlineStr">
        <is>
          <t>-</t>
        </is>
      </c>
      <c r="L14" s="48" t="inlineStr">
        <is>
          <t>-</t>
        </is>
      </c>
      <c r="M14" s="48" t="inlineStr">
        <is>
          <t>-</t>
        </is>
      </c>
      <c r="N14" s="48" t="inlineStr">
        <is>
          <t>-</t>
        </is>
      </c>
      <c r="O14" s="48" t="inlineStr">
        <is>
          <t>-</t>
        </is>
      </c>
      <c r="P14" s="48" t="inlineStr">
        <is>
          <t>-</t>
        </is>
      </c>
      <c r="Q14" s="48" t="inlineStr">
        <is>
          <t>-</t>
        </is>
      </c>
      <c r="R14" s="48" t="inlineStr">
        <is>
          <t>-</t>
        </is>
      </c>
      <c r="S14" s="48" t="inlineStr">
        <is>
          <t>-</t>
        </is>
      </c>
      <c r="T14" s="48" t="inlineStr">
        <is>
          <t>-</t>
        </is>
      </c>
      <c r="U14" s="48" t="inlineStr">
        <is>
          <t>-</t>
        </is>
      </c>
      <c r="V14" s="48" t="inlineStr">
        <is>
          <t>-</t>
        </is>
      </c>
      <c r="W14" s="48" t="inlineStr">
        <is>
          <t>-</t>
        </is>
      </c>
      <c r="X14" s="48" t="inlineStr">
        <is>
          <t>-</t>
        </is>
      </c>
      <c r="Y14" s="48" t="inlineStr">
        <is>
          <t>-</t>
        </is>
      </c>
      <c r="Z14" s="48" t="inlineStr">
        <is>
          <t>-</t>
        </is>
      </c>
      <c r="AA14" s="48" t="inlineStr">
        <is>
          <t>-</t>
        </is>
      </c>
      <c r="AB14" s="48" t="inlineStr">
        <is>
          <t>-</t>
        </is>
      </c>
      <c r="AC14" s="48" t="inlineStr">
        <is>
          <t>-</t>
        </is>
      </c>
      <c r="AD14" s="48" t="inlineStr">
        <is>
          <t>-</t>
        </is>
      </c>
      <c r="AE14" s="48" t="inlineStr">
        <is>
          <t>-</t>
        </is>
      </c>
      <c r="AF14" s="48" t="inlineStr">
        <is>
          <t>-</t>
        </is>
      </c>
      <c r="AG14" s="48" t="inlineStr">
        <is>
          <t>-</t>
        </is>
      </c>
      <c r="AH14" s="48" t="inlineStr">
        <is>
          <t>-</t>
        </is>
      </c>
      <c r="AI14" s="48" t="inlineStr">
        <is>
          <t>-</t>
        </is>
      </c>
      <c r="AJ14" s="48" t="inlineStr">
        <is>
          <t>-</t>
        </is>
      </c>
    </row>
    <row r="15">
      <c r="A15" s="43" t="n">
        <v>9</v>
      </c>
      <c r="B15" s="43" t="inlineStr">
        <is>
          <t>009</t>
        </is>
      </c>
      <c r="C15" s="44" t="inlineStr">
        <is>
          <t>นายณัฐพล ทวีทรัพย์</t>
        </is>
      </c>
      <c r="D15" s="43" t="inlineStr">
        <is>
          <t>S__8118289_0.jpg</t>
        </is>
      </c>
      <c r="E15" s="46" t="inlineStr">
        <is>
          <t>ง</t>
        </is>
      </c>
      <c r="F15" s="46" t="inlineStr">
        <is>
          <t>ข</t>
        </is>
      </c>
      <c r="G15" s="45" t="inlineStr">
        <is>
          <t>ค</t>
        </is>
      </c>
      <c r="H15" s="45" t="inlineStr">
        <is>
          <t>ง</t>
        </is>
      </c>
      <c r="I15" s="45" t="inlineStr">
        <is>
          <t>ข</t>
        </is>
      </c>
      <c r="J15" s="45" t="inlineStr">
        <is>
          <t>ก</t>
        </is>
      </c>
      <c r="K15" s="46" t="inlineStr">
        <is>
          <t>ก</t>
        </is>
      </c>
      <c r="L15" s="45" t="inlineStr">
        <is>
          <t>ข</t>
        </is>
      </c>
      <c r="M15" s="45" t="inlineStr">
        <is>
          <t>ง</t>
        </is>
      </c>
      <c r="N15" s="45" t="inlineStr">
        <is>
          <t>ก</t>
        </is>
      </c>
      <c r="O15" s="46" t="inlineStr">
        <is>
          <t>ก</t>
        </is>
      </c>
      <c r="P15" s="46" t="inlineStr">
        <is>
          <t>ง</t>
        </is>
      </c>
      <c r="Q15" s="45" t="inlineStr">
        <is>
          <t>ก</t>
        </is>
      </c>
      <c r="R15" s="45" t="inlineStr">
        <is>
          <t>ง</t>
        </is>
      </c>
      <c r="S15" s="46" t="inlineStr">
        <is>
          <t>ก</t>
        </is>
      </c>
      <c r="T15" s="45" t="inlineStr">
        <is>
          <t>ค</t>
        </is>
      </c>
      <c r="U15" s="45" t="inlineStr">
        <is>
          <t>ก</t>
        </is>
      </c>
      <c r="V15" s="45" t="inlineStr">
        <is>
          <t>ง</t>
        </is>
      </c>
      <c r="W15" s="45" t="inlineStr">
        <is>
          <t>ข</t>
        </is>
      </c>
      <c r="X15" s="45" t="inlineStr">
        <is>
          <t>ค</t>
        </is>
      </c>
      <c r="Y15" s="45" t="inlineStr">
        <is>
          <t>ก</t>
        </is>
      </c>
      <c r="Z15" s="46" t="inlineStr">
        <is>
          <t>ข</t>
        </is>
      </c>
      <c r="AA15" s="46" t="inlineStr">
        <is>
          <t>ก</t>
        </is>
      </c>
      <c r="AB15" s="46" t="inlineStr">
        <is>
          <t>ค</t>
        </is>
      </c>
      <c r="AC15" s="45" t="inlineStr">
        <is>
          <t>ก</t>
        </is>
      </c>
      <c r="AD15" s="45" t="inlineStr">
        <is>
          <t>ง</t>
        </is>
      </c>
      <c r="AE15" s="46" t="inlineStr">
        <is>
          <t>ก</t>
        </is>
      </c>
      <c r="AF15" s="46" t="inlineStr">
        <is>
          <t>ก</t>
        </is>
      </c>
      <c r="AG15" s="46" t="inlineStr">
        <is>
          <t>ก</t>
        </is>
      </c>
      <c r="AH15" s="46" t="inlineStr">
        <is>
          <t>ก</t>
        </is>
      </c>
      <c r="AI15" s="47" t="n">
        <v>17</v>
      </c>
      <c r="AJ15" s="43" t="inlineStr">
        <is>
          <t>56.67%</t>
        </is>
      </c>
    </row>
    <row r="16">
      <c r="A16" s="43" t="n">
        <v>10</v>
      </c>
      <c r="B16" s="43" t="inlineStr">
        <is>
          <t>010</t>
        </is>
      </c>
      <c r="C16" s="44" t="inlineStr">
        <is>
          <t>นายต้นตระการ เพชรภู่</t>
        </is>
      </c>
      <c r="D16" s="43" t="inlineStr">
        <is>
          <t>S__8118281_0.jpg</t>
        </is>
      </c>
      <c r="E16" s="45" t="inlineStr">
        <is>
          <t>ข</t>
        </is>
      </c>
      <c r="F16" s="46" t="inlineStr">
        <is>
          <t>ค</t>
        </is>
      </c>
      <c r="G16" s="46" t="inlineStr">
        <is>
          <t>ก</t>
        </is>
      </c>
      <c r="H16" s="45" t="inlineStr">
        <is>
          <t>ง</t>
        </is>
      </c>
      <c r="I16" s="46" t="inlineStr">
        <is>
          <t>ค</t>
        </is>
      </c>
      <c r="J16" s="46" t="inlineStr">
        <is>
          <t>ข</t>
        </is>
      </c>
      <c r="K16" s="46" t="inlineStr">
        <is>
          <t>ก</t>
        </is>
      </c>
      <c r="L16" s="46" t="inlineStr">
        <is>
          <t>ก</t>
        </is>
      </c>
      <c r="M16" s="46" t="inlineStr">
        <is>
          <t>ค</t>
        </is>
      </c>
      <c r="N16" s="45" t="inlineStr">
        <is>
          <t>ก</t>
        </is>
      </c>
      <c r="O16" s="46" t="inlineStr">
        <is>
          <t>ข</t>
        </is>
      </c>
      <c r="P16" s="46" t="inlineStr">
        <is>
          <t>ค</t>
        </is>
      </c>
      <c r="Q16" s="45" t="inlineStr">
        <is>
          <t>ก</t>
        </is>
      </c>
      <c r="R16" s="46" t="inlineStr">
        <is>
          <t>ข</t>
        </is>
      </c>
      <c r="S16" s="45" t="inlineStr">
        <is>
          <t>ข</t>
        </is>
      </c>
      <c r="T16" s="46" t="inlineStr">
        <is>
          <t>ก</t>
        </is>
      </c>
      <c r="U16" s="46" t="inlineStr">
        <is>
          <t>ข</t>
        </is>
      </c>
      <c r="V16" s="46" t="inlineStr">
        <is>
          <t>ก</t>
        </is>
      </c>
      <c r="W16" s="46" t="inlineStr">
        <is>
          <t>ค</t>
        </is>
      </c>
      <c r="X16" s="46" t="inlineStr">
        <is>
          <t>ข</t>
        </is>
      </c>
      <c r="Y16" s="46" t="inlineStr">
        <is>
          <t>ง</t>
        </is>
      </c>
      <c r="Z16" s="46" t="inlineStr">
        <is>
          <t>ข</t>
        </is>
      </c>
      <c r="AA16" s="46" t="inlineStr">
        <is>
          <t>ก</t>
        </is>
      </c>
      <c r="AB16" s="46" t="inlineStr">
        <is>
          <t>ค</t>
        </is>
      </c>
      <c r="AC16" s="46" t="inlineStr">
        <is>
          <t>ข</t>
        </is>
      </c>
      <c r="AD16" s="45" t="inlineStr">
        <is>
          <t>ง</t>
        </is>
      </c>
      <c r="AE16" s="46" t="inlineStr">
        <is>
          <t>ข</t>
        </is>
      </c>
      <c r="AF16" s="46" t="inlineStr">
        <is>
          <t>ก</t>
        </is>
      </c>
      <c r="AG16" s="46" t="inlineStr">
        <is>
          <t>ค</t>
        </is>
      </c>
      <c r="AH16" s="46" t="inlineStr">
        <is>
          <t>ข</t>
        </is>
      </c>
      <c r="AI16" s="47" t="n">
        <v>6</v>
      </c>
      <c r="AJ16" s="43" t="inlineStr">
        <is>
          <t>20.00%</t>
        </is>
      </c>
    </row>
    <row r="17">
      <c r="A17" s="43" t="n">
        <v>11</v>
      </c>
      <c r="B17" s="43" t="inlineStr">
        <is>
          <t>011</t>
        </is>
      </c>
      <c r="C17" s="44" t="inlineStr">
        <is>
          <t>นายตฤณ ตาดทอง</t>
        </is>
      </c>
      <c r="D17" s="43" t="inlineStr">
        <is>
          <t>S__8118278_0.jpg</t>
        </is>
      </c>
      <c r="E17" s="46" t="inlineStr">
        <is>
          <t>ง</t>
        </is>
      </c>
      <c r="F17" s="45" t="inlineStr">
        <is>
          <t>ก</t>
        </is>
      </c>
      <c r="G17" s="45" t="inlineStr">
        <is>
          <t>ค</t>
        </is>
      </c>
      <c r="H17" s="45" t="inlineStr">
        <is>
          <t>ง</t>
        </is>
      </c>
      <c r="I17" s="45" t="inlineStr">
        <is>
          <t>ข</t>
        </is>
      </c>
      <c r="J17" s="45" t="inlineStr">
        <is>
          <t>ก</t>
        </is>
      </c>
      <c r="K17" s="46" t="inlineStr">
        <is>
          <t>ข</t>
        </is>
      </c>
      <c r="L17" s="45" t="inlineStr">
        <is>
          <t>ข</t>
        </is>
      </c>
      <c r="M17" s="45" t="inlineStr">
        <is>
          <t>ง</t>
        </is>
      </c>
      <c r="N17" s="45" t="inlineStr">
        <is>
          <t>ก</t>
        </is>
      </c>
      <c r="O17" s="46" t="inlineStr">
        <is>
          <t>ข</t>
        </is>
      </c>
      <c r="P17" s="45" t="inlineStr">
        <is>
          <t>ข</t>
        </is>
      </c>
      <c r="Q17" s="45" t="inlineStr">
        <is>
          <t>ก</t>
        </is>
      </c>
      <c r="R17" s="45" t="inlineStr">
        <is>
          <t>ง</t>
        </is>
      </c>
      <c r="S17" s="45" t="inlineStr">
        <is>
          <t>ข</t>
        </is>
      </c>
      <c r="T17" s="45" t="inlineStr">
        <is>
          <t>ค</t>
        </is>
      </c>
      <c r="U17" s="45" t="inlineStr">
        <is>
          <t>ก</t>
        </is>
      </c>
      <c r="V17" s="45" t="inlineStr">
        <is>
          <t>ง</t>
        </is>
      </c>
      <c r="W17" s="45" t="inlineStr">
        <is>
          <t>ข</t>
        </is>
      </c>
      <c r="X17" s="45" t="inlineStr">
        <is>
          <t>ค</t>
        </is>
      </c>
      <c r="Y17" s="45" t="inlineStr">
        <is>
          <t>ก</t>
        </is>
      </c>
      <c r="Z17" s="45" t="inlineStr">
        <is>
          <t>ค</t>
        </is>
      </c>
      <c r="AA17" s="45" t="inlineStr">
        <is>
          <t>ง</t>
        </is>
      </c>
      <c r="AB17" s="45" t="inlineStr">
        <is>
          <t>ข</t>
        </is>
      </c>
      <c r="AC17" s="45" t="inlineStr">
        <is>
          <t>ก</t>
        </is>
      </c>
      <c r="AD17" s="45" t="inlineStr">
        <is>
          <t>ง</t>
        </is>
      </c>
      <c r="AE17" s="45" t="inlineStr">
        <is>
          <t>ค</t>
        </is>
      </c>
      <c r="AF17" s="45" t="inlineStr">
        <is>
          <t>ข</t>
        </is>
      </c>
      <c r="AG17" s="46" t="inlineStr">
        <is>
          <t>ก</t>
        </is>
      </c>
      <c r="AH17" s="46" t="inlineStr">
        <is>
          <t>ง</t>
        </is>
      </c>
      <c r="AI17" s="47" t="n">
        <v>25</v>
      </c>
      <c r="AJ17" s="43" t="inlineStr">
        <is>
          <t>83.33%</t>
        </is>
      </c>
    </row>
    <row r="18">
      <c r="A18" s="43" t="n">
        <v>12</v>
      </c>
      <c r="B18" s="43" t="inlineStr">
        <is>
          <t>012</t>
        </is>
      </c>
      <c r="C18" s="44" t="inlineStr">
        <is>
          <t>นายธนพัฒน์ บุญเรือง</t>
        </is>
      </c>
      <c r="D18" s="43" t="inlineStr">
        <is>
          <t>S__8118283_0.jpg</t>
        </is>
      </c>
      <c r="E18" s="45" t="inlineStr">
        <is>
          <t>ข</t>
        </is>
      </c>
      <c r="F18" s="46" t="inlineStr">
        <is>
          <t>ค</t>
        </is>
      </c>
      <c r="G18" s="45" t="inlineStr">
        <is>
          <t>ค</t>
        </is>
      </c>
      <c r="H18" s="45" t="inlineStr">
        <is>
          <t>ง</t>
        </is>
      </c>
      <c r="I18" s="45" t="inlineStr">
        <is>
          <t>ข</t>
        </is>
      </c>
      <c r="J18" s="45" t="inlineStr">
        <is>
          <t>ก</t>
        </is>
      </c>
      <c r="K18" s="46" t="inlineStr">
        <is>
          <t>ง</t>
        </is>
      </c>
      <c r="L18" s="45" t="inlineStr">
        <is>
          <t>ข</t>
        </is>
      </c>
      <c r="M18" s="45" t="inlineStr">
        <is>
          <t>ง</t>
        </is>
      </c>
      <c r="N18" s="46" t="inlineStr">
        <is>
          <t>ข</t>
        </is>
      </c>
      <c r="O18" s="45" t="inlineStr">
        <is>
          <t>ค</t>
        </is>
      </c>
      <c r="P18" s="45" t="inlineStr">
        <is>
          <t>ข</t>
        </is>
      </c>
      <c r="Q18" s="45" t="inlineStr">
        <is>
          <t>ก</t>
        </is>
      </c>
      <c r="R18" s="45" t="inlineStr">
        <is>
          <t>ง</t>
        </is>
      </c>
      <c r="S18" s="45" t="inlineStr">
        <is>
          <t>ข</t>
        </is>
      </c>
      <c r="T18" s="45" t="inlineStr">
        <is>
          <t>ค</t>
        </is>
      </c>
      <c r="U18" s="45" t="inlineStr">
        <is>
          <t>ก</t>
        </is>
      </c>
      <c r="V18" s="45" t="inlineStr">
        <is>
          <t>ง</t>
        </is>
      </c>
      <c r="W18" s="46" t="inlineStr">
        <is>
          <t>ค</t>
        </is>
      </c>
      <c r="X18" s="45" t="inlineStr">
        <is>
          <t>ค</t>
        </is>
      </c>
      <c r="Y18" s="46" t="inlineStr">
        <is>
          <t>ข</t>
        </is>
      </c>
      <c r="Z18" s="46" t="inlineStr">
        <is>
          <t>ก</t>
        </is>
      </c>
      <c r="AA18" s="45" t="inlineStr">
        <is>
          <t>ง</t>
        </is>
      </c>
      <c r="AB18" s="45" t="inlineStr">
        <is>
          <t>ข</t>
        </is>
      </c>
      <c r="AC18" s="45" t="inlineStr">
        <is>
          <t>ก</t>
        </is>
      </c>
      <c r="AD18" s="45" t="inlineStr">
        <is>
          <t>ง</t>
        </is>
      </c>
      <c r="AE18" s="46" t="inlineStr">
        <is>
          <t>ข</t>
        </is>
      </c>
      <c r="AF18" s="45" t="inlineStr">
        <is>
          <t>ข</t>
        </is>
      </c>
      <c r="AG18" s="46" t="inlineStr">
        <is>
          <t>ข</t>
        </is>
      </c>
      <c r="AH18" s="45" t="inlineStr">
        <is>
          <t>ค</t>
        </is>
      </c>
      <c r="AI18" s="47" t="n">
        <v>22</v>
      </c>
      <c r="AJ18" s="43" t="inlineStr">
        <is>
          <t>73.33%</t>
        </is>
      </c>
    </row>
    <row r="19">
      <c r="A19" s="43" t="n">
        <v>13</v>
      </c>
      <c r="B19" s="43" t="inlineStr">
        <is>
          <t>013</t>
        </is>
      </c>
      <c r="C19" s="44" t="inlineStr">
        <is>
          <t>นายธีรภัทร วาสิทธิ์เทพ</t>
        </is>
      </c>
      <c r="D19" s="43" t="inlineStr">
        <is>
          <t>S__8118282_0.jpg</t>
        </is>
      </c>
      <c r="E19" s="46" t="inlineStr">
        <is>
          <t>ค</t>
        </is>
      </c>
      <c r="F19" s="46" t="inlineStr">
        <is>
          <t>ข</t>
        </is>
      </c>
      <c r="G19" s="45" t="inlineStr">
        <is>
          <t>ค</t>
        </is>
      </c>
      <c r="H19" s="45" t="inlineStr">
        <is>
          <t>ง</t>
        </is>
      </c>
      <c r="I19" s="45" t="inlineStr">
        <is>
          <t>ข</t>
        </is>
      </c>
      <c r="J19" s="46" t="inlineStr">
        <is>
          <t>ง</t>
        </is>
      </c>
      <c r="K19" s="46" t="inlineStr">
        <is>
          <t>ง</t>
        </is>
      </c>
      <c r="L19" s="46" t="inlineStr">
        <is>
          <t>ก</t>
        </is>
      </c>
      <c r="M19" s="46" t="inlineStr">
        <is>
          <t>ข</t>
        </is>
      </c>
      <c r="N19" s="45" t="inlineStr">
        <is>
          <t>ก</t>
        </is>
      </c>
      <c r="O19" s="45" t="inlineStr">
        <is>
          <t>ค</t>
        </is>
      </c>
      <c r="P19" s="46" t="inlineStr">
        <is>
          <t>ก</t>
        </is>
      </c>
      <c r="Q19" s="45" t="inlineStr">
        <is>
          <t>ก</t>
        </is>
      </c>
      <c r="R19" s="45" t="inlineStr">
        <is>
          <t>ง</t>
        </is>
      </c>
      <c r="S19" s="45" t="inlineStr">
        <is>
          <t>ข</t>
        </is>
      </c>
      <c r="T19" s="45" t="inlineStr">
        <is>
          <t>ค</t>
        </is>
      </c>
      <c r="U19" s="45" t="inlineStr">
        <is>
          <t>ก</t>
        </is>
      </c>
      <c r="V19" s="45" t="inlineStr">
        <is>
          <t>ง</t>
        </is>
      </c>
      <c r="W19" s="45" t="inlineStr">
        <is>
          <t>ข</t>
        </is>
      </c>
      <c r="X19" s="45" t="inlineStr">
        <is>
          <t>ค</t>
        </is>
      </c>
      <c r="Y19" s="45" t="inlineStr">
        <is>
          <t>ก</t>
        </is>
      </c>
      <c r="Z19" s="46" t="inlineStr">
        <is>
          <t>ข</t>
        </is>
      </c>
      <c r="AA19" s="45" t="inlineStr">
        <is>
          <t>ง</t>
        </is>
      </c>
      <c r="AB19" s="45" t="inlineStr">
        <is>
          <t>ข</t>
        </is>
      </c>
      <c r="AC19" s="46" t="inlineStr">
        <is>
          <t>ข</t>
        </is>
      </c>
      <c r="AD19" s="46" t="inlineStr">
        <is>
          <t>ก</t>
        </is>
      </c>
      <c r="AE19" s="46" t="inlineStr">
        <is>
          <t>ข</t>
        </is>
      </c>
      <c r="AF19" s="46" t="inlineStr">
        <is>
          <t>ค</t>
        </is>
      </c>
      <c r="AG19" s="46" t="inlineStr">
        <is>
          <t>ข</t>
        </is>
      </c>
      <c r="AH19" s="45" t="inlineStr">
        <is>
          <t>ค</t>
        </is>
      </c>
      <c r="AI19" s="47" t="n">
        <v>17</v>
      </c>
      <c r="AJ19" s="43" t="inlineStr">
        <is>
          <t>56.67%</t>
        </is>
      </c>
    </row>
    <row r="20">
      <c r="A20" s="43" t="n">
        <v>14</v>
      </c>
      <c r="B20" s="43" t="inlineStr">
        <is>
          <t>014</t>
        </is>
      </c>
      <c r="C20" s="44" t="inlineStr">
        <is>
          <t>นายภูเบต ควันทอง</t>
        </is>
      </c>
      <c r="D20" s="43" t="inlineStr">
        <is>
          <t>ขาดสอบ</t>
        </is>
      </c>
      <c r="E20" s="48" t="inlineStr">
        <is>
          <t>-</t>
        </is>
      </c>
      <c r="F20" s="48" t="inlineStr">
        <is>
          <t>-</t>
        </is>
      </c>
      <c r="G20" s="48" t="inlineStr">
        <is>
          <t>-</t>
        </is>
      </c>
      <c r="H20" s="48" t="inlineStr">
        <is>
          <t>-</t>
        </is>
      </c>
      <c r="I20" s="48" t="inlineStr">
        <is>
          <t>-</t>
        </is>
      </c>
      <c r="J20" s="48" t="inlineStr">
        <is>
          <t>-</t>
        </is>
      </c>
      <c r="K20" s="48" t="inlineStr">
        <is>
          <t>-</t>
        </is>
      </c>
      <c r="L20" s="48" t="inlineStr">
        <is>
          <t>-</t>
        </is>
      </c>
      <c r="M20" s="48" t="inlineStr">
        <is>
          <t>-</t>
        </is>
      </c>
      <c r="N20" s="48" t="inlineStr">
        <is>
          <t>-</t>
        </is>
      </c>
      <c r="O20" s="48" t="inlineStr">
        <is>
          <t>-</t>
        </is>
      </c>
      <c r="P20" s="48" t="inlineStr">
        <is>
          <t>-</t>
        </is>
      </c>
      <c r="Q20" s="48" t="inlineStr">
        <is>
          <t>-</t>
        </is>
      </c>
      <c r="R20" s="48" t="inlineStr">
        <is>
          <t>-</t>
        </is>
      </c>
      <c r="S20" s="48" t="inlineStr">
        <is>
          <t>-</t>
        </is>
      </c>
      <c r="T20" s="48" t="inlineStr">
        <is>
          <t>-</t>
        </is>
      </c>
      <c r="U20" s="48" t="inlineStr">
        <is>
          <t>-</t>
        </is>
      </c>
      <c r="V20" s="48" t="inlineStr">
        <is>
          <t>-</t>
        </is>
      </c>
      <c r="W20" s="48" t="inlineStr">
        <is>
          <t>-</t>
        </is>
      </c>
      <c r="X20" s="48" t="inlineStr">
        <is>
          <t>-</t>
        </is>
      </c>
      <c r="Y20" s="48" t="inlineStr">
        <is>
          <t>-</t>
        </is>
      </c>
      <c r="Z20" s="48" t="inlineStr">
        <is>
          <t>-</t>
        </is>
      </c>
      <c r="AA20" s="48" t="inlineStr">
        <is>
          <t>-</t>
        </is>
      </c>
      <c r="AB20" s="48" t="inlineStr">
        <is>
          <t>-</t>
        </is>
      </c>
      <c r="AC20" s="48" t="inlineStr">
        <is>
          <t>-</t>
        </is>
      </c>
      <c r="AD20" s="48" t="inlineStr">
        <is>
          <t>-</t>
        </is>
      </c>
      <c r="AE20" s="48" t="inlineStr">
        <is>
          <t>-</t>
        </is>
      </c>
      <c r="AF20" s="48" t="inlineStr">
        <is>
          <t>-</t>
        </is>
      </c>
      <c r="AG20" s="48" t="inlineStr">
        <is>
          <t>-</t>
        </is>
      </c>
      <c r="AH20" s="48" t="inlineStr">
        <is>
          <t>-</t>
        </is>
      </c>
      <c r="AI20" s="48" t="inlineStr">
        <is>
          <t>-</t>
        </is>
      </c>
      <c r="AJ20" s="48" t="inlineStr">
        <is>
          <t>-</t>
        </is>
      </c>
    </row>
    <row r="21">
      <c r="A21" s="43" t="n">
        <v>15</v>
      </c>
      <c r="B21" s="43" t="inlineStr">
        <is>
          <t>015</t>
        </is>
      </c>
      <c r="C21" s="44" t="inlineStr">
        <is>
          <t>นายภูวพิศิษฐ์ ใหลสกุล</t>
        </is>
      </c>
      <c r="D21" s="43" t="inlineStr">
        <is>
          <t>S__8118290_0.jpg</t>
        </is>
      </c>
      <c r="E21" s="45" t="inlineStr">
        <is>
          <t>ข</t>
        </is>
      </c>
      <c r="F21" s="45" t="inlineStr">
        <is>
          <t>ก</t>
        </is>
      </c>
      <c r="G21" s="45" t="inlineStr">
        <is>
          <t>ค</t>
        </is>
      </c>
      <c r="H21" s="45" t="inlineStr">
        <is>
          <t>ง</t>
        </is>
      </c>
      <c r="I21" s="45" t="inlineStr">
        <is>
          <t>ข</t>
        </is>
      </c>
      <c r="J21" s="45" t="inlineStr">
        <is>
          <t>ก</t>
        </is>
      </c>
      <c r="K21" s="45" t="inlineStr">
        <is>
          <t>ค</t>
        </is>
      </c>
      <c r="L21" s="45" t="inlineStr">
        <is>
          <t>ข</t>
        </is>
      </c>
      <c r="M21" s="45" t="inlineStr">
        <is>
          <t>ง</t>
        </is>
      </c>
      <c r="N21" s="45" t="inlineStr">
        <is>
          <t>ก</t>
        </is>
      </c>
      <c r="O21" s="45" t="inlineStr">
        <is>
          <t>ค</t>
        </is>
      </c>
      <c r="P21" s="46" t="inlineStr">
        <is>
          <t>ค</t>
        </is>
      </c>
      <c r="Q21" s="45" t="inlineStr">
        <is>
          <t>ก</t>
        </is>
      </c>
      <c r="R21" s="46" t="inlineStr">
        <is>
          <t>ก</t>
        </is>
      </c>
      <c r="S21" s="45" t="inlineStr">
        <is>
          <t>ข</t>
        </is>
      </c>
      <c r="T21" s="45" t="inlineStr">
        <is>
          <t>ค</t>
        </is>
      </c>
      <c r="U21" s="45" t="inlineStr">
        <is>
          <t>ก</t>
        </is>
      </c>
      <c r="V21" s="45" t="inlineStr">
        <is>
          <t>ง</t>
        </is>
      </c>
      <c r="W21" s="45" t="inlineStr">
        <is>
          <t>ข</t>
        </is>
      </c>
      <c r="X21" s="46" t="inlineStr">
        <is>
          <t>ง</t>
        </is>
      </c>
      <c r="Y21" s="45" t="inlineStr">
        <is>
          <t>ก</t>
        </is>
      </c>
      <c r="Z21" s="45" t="inlineStr">
        <is>
          <t>ค</t>
        </is>
      </c>
      <c r="AA21" s="45" t="inlineStr">
        <is>
          <t>ง</t>
        </is>
      </c>
      <c r="AB21" s="45" t="inlineStr">
        <is>
          <t>ข</t>
        </is>
      </c>
      <c r="AC21" s="45" t="inlineStr">
        <is>
          <t>ก</t>
        </is>
      </c>
      <c r="AD21" s="45" t="inlineStr">
        <is>
          <t>ง</t>
        </is>
      </c>
      <c r="AE21" s="46" t="inlineStr">
        <is>
          <t>ก</t>
        </is>
      </c>
      <c r="AF21" s="45" t="inlineStr">
        <is>
          <t>ข</t>
        </is>
      </c>
      <c r="AG21" s="45" t="inlineStr">
        <is>
          <t>ง</t>
        </is>
      </c>
      <c r="AH21" s="45" t="inlineStr">
        <is>
          <t>ค</t>
        </is>
      </c>
      <c r="AI21" s="47" t="n">
        <v>26</v>
      </c>
      <c r="AJ21" s="43" t="inlineStr">
        <is>
          <t>86.67%</t>
        </is>
      </c>
    </row>
    <row r="22">
      <c r="A22" s="43" t="n">
        <v>16</v>
      </c>
      <c r="B22" s="43" t="inlineStr">
        <is>
          <t>016</t>
        </is>
      </c>
      <c r="C22" s="44" t="inlineStr">
        <is>
          <t>นางสาวมินตา บินอามัด</t>
        </is>
      </c>
      <c r="D22" s="43" t="inlineStr">
        <is>
          <t>S__8118293_0.jpg</t>
        </is>
      </c>
      <c r="E22" s="45" t="inlineStr">
        <is>
          <t>ข</t>
        </is>
      </c>
      <c r="F22" s="46" t="inlineStr">
        <is>
          <t>ค</t>
        </is>
      </c>
      <c r="G22" s="45" t="inlineStr">
        <is>
          <t>ค</t>
        </is>
      </c>
      <c r="H22" s="46" t="inlineStr">
        <is>
          <t>ข</t>
        </is>
      </c>
      <c r="I22" s="45" t="inlineStr">
        <is>
          <t>ข</t>
        </is>
      </c>
      <c r="J22" s="45" t="inlineStr">
        <is>
          <t>ก</t>
        </is>
      </c>
      <c r="K22" s="45" t="inlineStr">
        <is>
          <t>ค</t>
        </is>
      </c>
      <c r="L22" s="46" t="inlineStr">
        <is>
          <t>ง</t>
        </is>
      </c>
      <c r="M22" s="46" t="inlineStr">
        <is>
          <t>ก</t>
        </is>
      </c>
      <c r="N22" s="46" t="inlineStr">
        <is>
          <t>ข</t>
        </is>
      </c>
      <c r="O22" s="46" t="inlineStr">
        <is>
          <t>ข</t>
        </is>
      </c>
      <c r="P22" s="46" t="inlineStr">
        <is>
          <t>ค</t>
        </is>
      </c>
      <c r="Q22" s="46" t="inlineStr">
        <is>
          <t>ข</t>
        </is>
      </c>
      <c r="R22" s="45" t="inlineStr">
        <is>
          <t>ง</t>
        </is>
      </c>
      <c r="S22" s="45" t="inlineStr">
        <is>
          <t>ข</t>
        </is>
      </c>
      <c r="T22" s="45" t="inlineStr">
        <is>
          <t>ค</t>
        </is>
      </c>
      <c r="U22" s="45" t="inlineStr">
        <is>
          <t>ก</t>
        </is>
      </c>
      <c r="V22" s="46" t="inlineStr">
        <is>
          <t>ข</t>
        </is>
      </c>
      <c r="W22" s="46" t="inlineStr">
        <is>
          <t>ค</t>
        </is>
      </c>
      <c r="X22" s="45" t="inlineStr">
        <is>
          <t>ค</t>
        </is>
      </c>
      <c r="Y22" s="46" t="inlineStr">
        <is>
          <t>ข</t>
        </is>
      </c>
      <c r="Z22" s="46" t="inlineStr">
        <is>
          <t>ก</t>
        </is>
      </c>
      <c r="AA22" s="46" t="inlineStr">
        <is>
          <t>ข</t>
        </is>
      </c>
      <c r="AB22" s="46" t="inlineStr">
        <is>
          <t>ค</t>
        </is>
      </c>
      <c r="AC22" s="46" t="inlineStr">
        <is>
          <t>ข</t>
        </is>
      </c>
      <c r="AD22" s="46" t="inlineStr">
        <is>
          <t>ก</t>
        </is>
      </c>
      <c r="AE22" s="46" t="inlineStr">
        <is>
          <t>ก</t>
        </is>
      </c>
      <c r="AF22" s="46" t="inlineStr">
        <is>
          <t>ก</t>
        </is>
      </c>
      <c r="AG22" s="46" t="inlineStr">
        <is>
          <t>ข</t>
        </is>
      </c>
      <c r="AH22" s="46" t="inlineStr">
        <is>
          <t>ก</t>
        </is>
      </c>
      <c r="AI22" s="47" t="n">
        <v>10</v>
      </c>
      <c r="AJ22" s="43" t="inlineStr">
        <is>
          <t>33.33%</t>
        </is>
      </c>
    </row>
    <row r="23">
      <c r="A23" s="43" t="n">
        <v>17</v>
      </c>
      <c r="B23" s="43" t="inlineStr">
        <is>
          <t>017</t>
        </is>
      </c>
      <c r="C23" s="44" t="inlineStr">
        <is>
          <t>นายอัรฮัม ยูนุ</t>
        </is>
      </c>
      <c r="D23" s="43" t="inlineStr">
        <is>
          <t>S__8118279_0.jpg</t>
        </is>
      </c>
      <c r="E23" s="45" t="inlineStr">
        <is>
          <t>ข</t>
        </is>
      </c>
      <c r="F23" s="45" t="inlineStr">
        <is>
          <t>ก</t>
        </is>
      </c>
      <c r="G23" s="45" t="inlineStr">
        <is>
          <t>ค</t>
        </is>
      </c>
      <c r="H23" s="45" t="inlineStr">
        <is>
          <t>ง</t>
        </is>
      </c>
      <c r="I23" s="45" t="inlineStr">
        <is>
          <t>ข</t>
        </is>
      </c>
      <c r="J23" s="45" t="inlineStr">
        <is>
          <t>ก</t>
        </is>
      </c>
      <c r="K23" s="45" t="inlineStr">
        <is>
          <t>ค</t>
        </is>
      </c>
      <c r="L23" s="45" t="inlineStr">
        <is>
          <t>ข</t>
        </is>
      </c>
      <c r="M23" s="46" t="inlineStr">
        <is>
          <t>ค</t>
        </is>
      </c>
      <c r="N23" s="45" t="inlineStr">
        <is>
          <t>ก</t>
        </is>
      </c>
      <c r="O23" s="45" t="inlineStr">
        <is>
          <t>ค</t>
        </is>
      </c>
      <c r="P23" s="46" t="inlineStr">
        <is>
          <t>ง</t>
        </is>
      </c>
      <c r="Q23" s="45" t="inlineStr">
        <is>
          <t>ก</t>
        </is>
      </c>
      <c r="R23" s="46" t="inlineStr">
        <is>
          <t>ค</t>
        </is>
      </c>
      <c r="S23" s="45" t="inlineStr">
        <is>
          <t>ข</t>
        </is>
      </c>
      <c r="T23" s="45" t="inlineStr">
        <is>
          <t>ค</t>
        </is>
      </c>
      <c r="U23" s="45" t="inlineStr">
        <is>
          <t>ก</t>
        </is>
      </c>
      <c r="V23" s="45" t="inlineStr">
        <is>
          <t>ง</t>
        </is>
      </c>
      <c r="W23" s="45" t="inlineStr">
        <is>
          <t>ข</t>
        </is>
      </c>
      <c r="X23" s="45" t="inlineStr">
        <is>
          <t>ค</t>
        </is>
      </c>
      <c r="Y23" s="45" t="inlineStr">
        <is>
          <t>ก</t>
        </is>
      </c>
      <c r="Z23" s="45" t="inlineStr">
        <is>
          <t>ค</t>
        </is>
      </c>
      <c r="AA23" s="45" t="inlineStr">
        <is>
          <t>ง</t>
        </is>
      </c>
      <c r="AB23" s="45" t="inlineStr">
        <is>
          <t>ข</t>
        </is>
      </c>
      <c r="AC23" s="45" t="inlineStr">
        <is>
          <t>ก</t>
        </is>
      </c>
      <c r="AD23" s="45" t="inlineStr">
        <is>
          <t>ง</t>
        </is>
      </c>
      <c r="AE23" s="45" t="inlineStr">
        <is>
          <t>ค</t>
        </is>
      </c>
      <c r="AF23" s="45" t="inlineStr">
        <is>
          <t>ข</t>
        </is>
      </c>
      <c r="AG23" s="45" t="inlineStr">
        <is>
          <t>ง</t>
        </is>
      </c>
      <c r="AH23" s="46" t="inlineStr">
        <is>
          <t>ก</t>
        </is>
      </c>
      <c r="AI23" s="47" t="n">
        <v>26</v>
      </c>
      <c r="AJ23" s="43" t="inlineStr">
        <is>
          <t>86.67%</t>
        </is>
      </c>
    </row>
    <row r="24">
      <c r="A24" s="43" t="n">
        <v>18</v>
      </c>
      <c r="B24" s="43" t="inlineStr">
        <is>
          <t>018</t>
        </is>
      </c>
      <c r="C24" s="44" t="inlineStr">
        <is>
          <t>นายอานนท์ณัฏฐ์ ไวพจน์</t>
        </is>
      </c>
      <c r="D24" s="43" t="inlineStr">
        <is>
          <t>S__8118277_0.jpg</t>
        </is>
      </c>
      <c r="E24" s="46" t="inlineStr">
        <is>
          <t>ง</t>
        </is>
      </c>
      <c r="F24" s="46" t="inlineStr">
        <is>
          <t>ค</t>
        </is>
      </c>
      <c r="G24" s="45" t="inlineStr">
        <is>
          <t>ค</t>
        </is>
      </c>
      <c r="H24" s="46" t="inlineStr">
        <is>
          <t>ข</t>
        </is>
      </c>
      <c r="I24" s="45" t="inlineStr">
        <is>
          <t>ข</t>
        </is>
      </c>
      <c r="J24" s="45" t="inlineStr">
        <is>
          <t>ก</t>
        </is>
      </c>
      <c r="K24" s="45" t="inlineStr">
        <is>
          <t>ค</t>
        </is>
      </c>
      <c r="L24" s="46" t="inlineStr">
        <is>
          <t>ค</t>
        </is>
      </c>
      <c r="M24" s="46" t="inlineStr">
        <is>
          <t>ก</t>
        </is>
      </c>
      <c r="N24" s="45" t="inlineStr">
        <is>
          <t>ก</t>
        </is>
      </c>
      <c r="O24" s="45" t="inlineStr">
        <is>
          <t>ค</t>
        </is>
      </c>
      <c r="P24" s="45" t="inlineStr">
        <is>
          <t>ข</t>
        </is>
      </c>
      <c r="Q24" s="46" t="inlineStr">
        <is>
          <t>ข</t>
        </is>
      </c>
      <c r="R24" s="45" t="inlineStr">
        <is>
          <t>ง</t>
        </is>
      </c>
      <c r="S24" s="45" t="inlineStr">
        <is>
          <t>ข</t>
        </is>
      </c>
      <c r="T24" s="45" t="inlineStr">
        <is>
          <t>ค</t>
        </is>
      </c>
      <c r="U24" s="45" t="inlineStr">
        <is>
          <t>ก</t>
        </is>
      </c>
      <c r="V24" s="45" t="inlineStr">
        <is>
          <t>ง</t>
        </is>
      </c>
      <c r="W24" s="45" t="inlineStr">
        <is>
          <t>ข</t>
        </is>
      </c>
      <c r="X24" s="45" t="inlineStr">
        <is>
          <t>ค</t>
        </is>
      </c>
      <c r="Y24" s="45" t="inlineStr">
        <is>
          <t>ก</t>
        </is>
      </c>
      <c r="Z24" s="46" t="inlineStr">
        <is>
          <t>ข</t>
        </is>
      </c>
      <c r="AA24" s="45" t="inlineStr">
        <is>
          <t>ง</t>
        </is>
      </c>
      <c r="AB24" s="45" t="inlineStr">
        <is>
          <t>ข</t>
        </is>
      </c>
      <c r="AC24" s="45" t="inlineStr">
        <is>
          <t>ก</t>
        </is>
      </c>
      <c r="AD24" s="46" t="inlineStr">
        <is>
          <t>ค</t>
        </is>
      </c>
      <c r="AE24" s="46" t="inlineStr">
        <is>
          <t>ก</t>
        </is>
      </c>
      <c r="AF24" s="46" t="inlineStr">
        <is>
          <t>ก</t>
        </is>
      </c>
      <c r="AG24" s="46" t="inlineStr">
        <is>
          <t>ข</t>
        </is>
      </c>
      <c r="AH24" s="46" t="inlineStr">
        <is>
          <t>ง</t>
        </is>
      </c>
      <c r="AI24" s="47" t="n">
        <v>18</v>
      </c>
      <c r="AJ24" s="43" t="inlineStr">
        <is>
          <t>60.00%</t>
        </is>
      </c>
    </row>
    <row r="25">
      <c r="A25" s="49" t="inlineStr">
        <is>
          <t>-</t>
        </is>
      </c>
      <c r="B25" s="49" t="inlineStr">
        <is>
          <t>-</t>
        </is>
      </c>
      <c r="C25" s="50" t="inlineStr">
        <is>
          <t>จำนวนคนตอบถูก (คน)</t>
        </is>
      </c>
      <c r="D25" s="49" t="inlineStr">
        <is>
          <t>-</t>
        </is>
      </c>
      <c r="E25" s="49">
        <f>COUNTIF(E7:E24, "ข")</f>
        <v/>
      </c>
      <c r="F25" s="49">
        <f>COUNTIF(F7:F24, "ก")</f>
        <v/>
      </c>
      <c r="G25" s="49">
        <f>COUNTIF(G7:G24, "ค")</f>
        <v/>
      </c>
      <c r="H25" s="49">
        <f>COUNTIF(H7:H24, "ง")</f>
        <v/>
      </c>
      <c r="I25" s="49">
        <f>COUNTIF(I7:I24, "ข")</f>
        <v/>
      </c>
      <c r="J25" s="49">
        <f>COUNTIF(J7:J24, "ก")</f>
        <v/>
      </c>
      <c r="K25" s="49">
        <f>COUNTIF(K7:K24, "ค")</f>
        <v/>
      </c>
      <c r="L25" s="49">
        <f>COUNTIF(L7:L24, "ข")</f>
        <v/>
      </c>
      <c r="M25" s="49">
        <f>COUNTIF(M7:M24, "ง")</f>
        <v/>
      </c>
      <c r="N25" s="49">
        <f>COUNTIF(N7:N24, "ก")</f>
        <v/>
      </c>
      <c r="O25" s="49">
        <f>COUNTIF(O7:O24, "ค")</f>
        <v/>
      </c>
      <c r="P25" s="49">
        <f>COUNTIF(P7:P24, "ข")</f>
        <v/>
      </c>
      <c r="Q25" s="49">
        <f>COUNTIF(Q7:Q24, "ก")</f>
        <v/>
      </c>
      <c r="R25" s="49">
        <f>COUNTIF(R7:R24, "ง")</f>
        <v/>
      </c>
      <c r="S25" s="49">
        <f>COUNTIF(S7:S24, "ข")</f>
        <v/>
      </c>
      <c r="T25" s="49">
        <f>COUNTIF(T7:T24, "ค")</f>
        <v/>
      </c>
      <c r="U25" s="49">
        <f>COUNTIF(U7:U24, "ก")</f>
        <v/>
      </c>
      <c r="V25" s="49">
        <f>COUNTIF(V7:V24, "ง")</f>
        <v/>
      </c>
      <c r="W25" s="49">
        <f>COUNTIF(W7:W24, "ข")</f>
        <v/>
      </c>
      <c r="X25" s="49">
        <f>COUNTIF(X7:X24, "ค")</f>
        <v/>
      </c>
      <c r="Y25" s="49">
        <f>COUNTIF(Y7:Y24, "ก")</f>
        <v/>
      </c>
      <c r="Z25" s="49">
        <f>COUNTIF(Z7:Z24, "ค")</f>
        <v/>
      </c>
      <c r="AA25" s="49">
        <f>COUNTIF(AA7:AA24, "ง")</f>
        <v/>
      </c>
      <c r="AB25" s="49">
        <f>COUNTIF(AB7:AB24, "ข")</f>
        <v/>
      </c>
      <c r="AC25" s="49">
        <f>COUNTIF(AC7:AC24, "ก")</f>
        <v/>
      </c>
      <c r="AD25" s="49">
        <f>COUNTIF(AD7:AD24, "ง")</f>
        <v/>
      </c>
      <c r="AE25" s="49">
        <f>COUNTIF(AE7:AE24, "ค")</f>
        <v/>
      </c>
      <c r="AF25" s="49">
        <f>COUNTIF(AF7:AF24, "ข")</f>
        <v/>
      </c>
      <c r="AG25" s="49">
        <f>COUNTIF(AG7:AG24, "ง")</f>
        <v/>
      </c>
      <c r="AH25" s="49">
        <f>COUNTIF(AH7:AH24, "ค")</f>
        <v/>
      </c>
      <c r="AI25" s="49">
        <f>ROUND(AVERAGE(AI7:AI24), 2)</f>
        <v/>
      </c>
      <c r="AJ25" s="49">
        <f>ROUND(AVERAGE(AI7:AI24)/30*100, 2) &amp; "%"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4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46" customWidth="1" min="3" max="3"/>
    <col width="110" customWidth="1" min="4" max="4"/>
  </cols>
  <sheetData>
    <row r="1">
      <c r="A1" s="34" t="inlineStr">
        <is>
          <t>📖 คู่มือเฉลยข้อสอบและคำอธิบายเชิงวิชาการอย่างละเอียด</t>
        </is>
      </c>
    </row>
    <row r="2">
      <c r="A2" s="35" t="inlineStr">
        <is>
          <t>รหัสวิชา 21909-1006 วิชา พื้นฐานการสร้างเว็บไซต์  |  ตอนที่ 1 แบบทดสอบปรนัย (30 ข้อ 30 คะแนน)</t>
        </is>
      </c>
    </row>
    <row r="3"/>
    <row r="4">
      <c r="A4" s="39" t="inlineStr">
        <is>
          <t>ข้อที่</t>
        </is>
      </c>
      <c r="B4" s="39" t="inlineStr">
        <is>
          <t>เฉลย</t>
        </is>
      </c>
      <c r="C4" s="39" t="inlineStr">
        <is>
          <t>สาระการเรียนรู้ / หน่วย</t>
        </is>
      </c>
      <c r="D4" s="39" t="inlineStr">
        <is>
          <t>คำอธิบายเหตุผลเฉลยตามเกณฑ์หลักสูตร</t>
        </is>
      </c>
    </row>
    <row r="5">
      <c r="A5" s="51" t="n">
        <v>1</v>
      </c>
      <c r="B5" s="40" t="inlineStr">
        <is>
          <t>ข</t>
        </is>
      </c>
      <c r="C5" s="52" t="inlineStr">
        <is>
          <t>หน่วยที่ 1: ความหมาย Information Architecture</t>
        </is>
      </c>
      <c r="D5" s="52" t="inlineStr">
        <is>
          <t>IA คือกระบวนการจัดระเบียบ จัดหมวดหมู่ และวางโครงสร้างลำดับชั้นของข้อมูลในเว็บไซต์ เพื่อให้ผู้ใช้งานสามารถค้นหาข้อมูลที่ต้องการได้อย่างสะดวก รวดเร็ว และไม่สับสน</t>
        </is>
      </c>
    </row>
    <row r="6">
      <c r="A6" s="53" t="n">
        <v>2</v>
      </c>
      <c r="B6" s="40" t="inlineStr">
        <is>
          <t>ก</t>
        </is>
      </c>
      <c r="C6" s="54" t="inlineStr">
        <is>
          <t>หน่วยที่ 1: หลักการ Categorization</t>
        </is>
      </c>
      <c r="D6" s="54" t="inlineStr">
        <is>
          <t>การนำข้อมูลประเภทเดียวกัน เช่น เสื้อผ้า รองเท้า อุปกรณ์ มารวบรวมไว้เป็นกลุ่มเดียวกัน เป็นนิยามตรงตัวของหลักการ Categorization (การจัดกลุ่มข้อมูล)</t>
        </is>
      </c>
    </row>
    <row r="7">
      <c r="A7" s="51" t="n">
        <v>3</v>
      </c>
      <c r="B7" s="40" t="inlineStr">
        <is>
          <t>ค</t>
        </is>
      </c>
      <c r="C7" s="52" t="inlineStr">
        <is>
          <t>หน่วยที่ 1: หลักการ Labeling</t>
        </is>
      </c>
      <c r="D7" s="52" t="inlineStr">
        <is>
          <t>การตั้งชื่อฉลากหรือเมนูที่ดีตามหลัก UX ต้องใช้คำศัพท์ที่เรียบง่าย สื่อความหมายตรงไปตรงมา และตรงกับความเข้าใจของผู้ใช้ทั่วไป เช่น 'ค้นหาสินค้า' ไม่ควรใช้ศัพท์เทคนิคเชิงโปรแกรมมิ่ง</t>
        </is>
      </c>
    </row>
    <row r="8">
      <c r="A8" s="53" t="n">
        <v>4</v>
      </c>
      <c r="B8" s="40" t="inlineStr">
        <is>
          <t>ง</t>
        </is>
      </c>
      <c r="C8" s="54" t="inlineStr">
        <is>
          <t>หน่วยที่ 1: User Journey vs User Flow</t>
        </is>
      </c>
      <c r="D8" s="54" t="inlineStr">
        <is>
          <t>User Journey คือภาพรวมประสบการณ์ อารมณ์ และความรู้สึกของผู้ใช้ตลอดเส้นทาง ส่วน User Flow คือผังแสดงขั้นตอนการทำงานเชิงเทคนิค (Step-by-Step Diagram) ว่าต้องคลิกผ่านหน้าจอใดบ้าง</t>
        </is>
      </c>
    </row>
    <row r="9">
      <c r="A9" s="51" t="n">
        <v>5</v>
      </c>
      <c r="B9" s="40" t="inlineStr">
        <is>
          <t>ข</t>
        </is>
      </c>
      <c r="C9" s="52" t="inlineStr">
        <is>
          <t>หน่วยที่ 1: การเขียนผัง User Flow</t>
        </is>
      </c>
      <c r="D9" s="52" t="inlineStr">
        <is>
          <t>ผัง User Flow มุ่งเน้นแสดงขั้นตอนการตัดสินใจ (Decision Point) และเส้นทางการคลิกของยูสเซอร์ เช่น เงื่อนไขตรวจสอบสถานะล็อกอิน เพื่อนำทางไปยังหน้าจอถัดไปที่ถูกต้อง</t>
        </is>
      </c>
    </row>
    <row r="10">
      <c r="A10" s="53" t="n">
        <v>6</v>
      </c>
      <c r="B10" s="40" t="inlineStr">
        <is>
          <t>ก</t>
        </is>
      </c>
      <c r="C10" s="54" t="inlineStr">
        <is>
          <t>หน่วยที่ 1: บทบาทของแผนผังเว็บไซต์ (Sitemap)</t>
        </is>
      </c>
      <c r="D10" s="54" t="inlineStr">
        <is>
          <t>Sitemap เป็นแผนภาพแสดงความสัมพันธ์ระหว่างหน้าทั้งหมดในเว็บไซต์ เพื่อให้เห็นโครงสร้างภาพรวมของระบบก่อนที่จะเริ่มลงมือออกแบบและเขียนโค้ดจริง</t>
        </is>
      </c>
    </row>
    <row r="11">
      <c r="A11" s="51" t="n">
        <v>7</v>
      </c>
      <c r="B11" s="40" t="inlineStr">
        <is>
          <t>ค</t>
        </is>
      </c>
      <c r="C11" s="52" t="inlineStr">
        <is>
          <t>หน่วยที่ 1: เหตุผลที่ Wireframe ใช้ขาว-ดำ</t>
        </is>
      </c>
      <c r="D11" s="52" t="inlineStr">
        <is>
          <t>การลงสีสวยงามตั้งแต่แรกจะทำให้ผู้ใช้หรือลูกค้าหลอกตาและหลงประเด็น (เช่น โฟกัสเรื่องสีปุ่มมากกว่าหน้าที่ของปุ่ม) การใช้ขาว-ดำ-เทาจึงช่วยให้ทุกคนโฟกัสที่ Layout และ Functionality</t>
        </is>
      </c>
    </row>
    <row r="12">
      <c r="A12" s="53" t="n">
        <v>8</v>
      </c>
      <c r="B12" s="40" t="inlineStr">
        <is>
          <t>ข</t>
        </is>
      </c>
      <c r="C12" s="54" t="inlineStr">
        <is>
          <t>หน่วยที่ 1: ข้อดีของการร่าง Wireframe</t>
        </is>
      </c>
      <c r="D12" s="54" t="inlineStr">
        <is>
          <t>การปรับเปลี่ยนโครงสร้างหน้าเว็บบน Wireframe ทำได้รวดเร็วและใช้ต้นทุนต่ำมาก หากไปรื้อแก้ไขหลังจากทำ Hi-Fi Mockup หรือเขียนโค้ดเสร็จแล้ว จะต้องเสียเวลาและแรงงานมากกว่ามหาศาล</t>
        </is>
      </c>
    </row>
    <row r="13">
      <c r="A13" s="51" t="n">
        <v>9</v>
      </c>
      <c r="B13" s="40" t="inlineStr">
        <is>
          <t>ง</t>
        </is>
      </c>
      <c r="C13" s="52" t="inlineStr">
        <is>
          <t>หน่วยที่ 1: องค์ประกอบที่ไม่ควรมีใน Wireframe</t>
        </is>
      </c>
      <c r="D13" s="52" t="inlineStr">
        <is>
          <t>รูปภาพถ่ายจริงความละเอียดสูงและตกแต่งสีสันสมบูรณ์ เป็นองค์ประกอบของขั้นตอน High-Fidelity Mockup ไม่ควรนำมาใส่ในขั้นตอน Low-Fidelity Wireframe</t>
        </is>
      </c>
    </row>
    <row r="14">
      <c r="A14" s="53" t="n">
        <v>10</v>
      </c>
      <c r="B14" s="40" t="inlineStr">
        <is>
          <t>ก</t>
        </is>
      </c>
      <c r="C14" s="54" t="inlineStr">
        <is>
          <t>หน่วยที่ 1: หัวใจหลักของ Blueprint (Wireframe)</t>
        </is>
      </c>
      <c r="D14" s="54" t="inlineStr">
        <is>
          <t>Wireframe ทำหน้าที่เป็นแบบแปลน (Blueprint) จึงต้องเน้น 3 ด้านหลัก ได้แก่ ตำแหน่งข้อมูล (Layout), ลำดับความสำคัญ (Hierarchy) และฟังก์ชันการทำงาน (Functionality)</t>
        </is>
      </c>
    </row>
    <row r="15">
      <c r="A15" s="51" t="n">
        <v>11</v>
      </c>
      <c r="B15" s="40" t="inlineStr">
        <is>
          <t>ค</t>
        </is>
      </c>
      <c r="C15" s="52" t="inlineStr">
        <is>
          <t>หน่วยที่ 2: แม่สีและการผสมสีขั้นที่ 2</t>
        </is>
      </c>
      <c r="D15" s="52" t="inlineStr">
        <is>
          <t>ในวงจรสี (Color Wheel) แม่สีขั้นที่ 1 ได้แก่ แดง เหลือง น้ำเงิน โดย สีแดง + สีน้ำเงิน = สีม่วง ซึ่งเป็นสีขั้นที่ 2 (Secondary Color)</t>
        </is>
      </c>
    </row>
    <row r="16">
      <c r="A16" s="53" t="n">
        <v>12</v>
      </c>
      <c r="B16" s="40" t="inlineStr">
        <is>
          <t>ข</t>
        </is>
      </c>
      <c r="C16" s="54" t="inlineStr">
        <is>
          <t>หน่วยที่ 2: สีวรรณะกึ่งกลาง (Neutral Temperature)</t>
        </is>
      </c>
      <c r="D16" s="54" t="inlineStr">
        <is>
          <t>สีเหลืองและสีม่วง เป็นสีที่อยู่ตรงรอยต่อระหว่างวรรณะร้อนและวรรณะเย็น สามารถเปลี่ยนวรรณะไปตามสีแวดล้อมที่อยู่รอบข้างได้</t>
        </is>
      </c>
    </row>
    <row r="17">
      <c r="A17" s="51" t="n">
        <v>13</v>
      </c>
      <c r="B17" s="40" t="inlineStr">
        <is>
          <t>ก</t>
        </is>
      </c>
      <c r="C17" s="52" t="inlineStr">
        <is>
          <t>หน่วยที่ 2: จิตวิทยาสีวรรณะร้อน (Warm Tone)</t>
        </is>
      </c>
      <c r="D17" s="52" t="inlineStr">
        <is>
          <t>สีวรรณะร้อน (แดง, ส้ม, เหลือง) ให้ความรู้สึกอบอุ่น มีพลัง สนุกสนาน และมีผลทางจิตวิทยาช่วยกระตุ้นความอยากอาหาร จึงนิยมใช้ในเว็บอาหารและคาเฟ่</t>
        </is>
      </c>
    </row>
    <row r="18">
      <c r="A18" s="53" t="n">
        <v>14</v>
      </c>
      <c r="B18" s="40" t="inlineStr">
        <is>
          <t>ง</t>
        </is>
      </c>
      <c r="C18" s="54" t="inlineStr">
        <is>
          <t>หน่วยที่ 2: ประโยชน์ของคู่สี Complementary</t>
        </is>
      </c>
      <c r="D18" s="54" t="inlineStr">
        <is>
          <t>สีคู่ตรงข้าม (Complementary) สร้างความเปรียบต่าง (Contrast) สูงสุด ช่วยเน้นย้ำจุดที่ต้องการให้ผู้ใช้สังเกตเห็นทันที เช่น ปุ่ม Call to Action (CTA)</t>
        </is>
      </c>
    </row>
    <row r="19">
      <c r="A19" s="51" t="n">
        <v>15</v>
      </c>
      <c r="B19" s="40" t="inlineStr">
        <is>
          <t>ข</t>
        </is>
      </c>
      <c r="C19" s="52" t="inlineStr">
        <is>
          <t>หน่วยที่ 2: กฎสัดส่วน Color Palette</t>
        </is>
      </c>
      <c r="D19" s="52" t="inlineStr">
        <is>
          <t>สัดส่วนมาตรฐานของ Color Palette ในงาน UI คือ Primary Color ประมาณ 60% ของพื้นที่, Accent Color 10-20% สำหรับจุดดึงดูดสายตา และ Neutral Color (ขาว เทา ดำ) สำหรับพื้นหลังและตัวหนังสือ</t>
        </is>
      </c>
    </row>
    <row r="20">
      <c r="A20" s="53" t="n">
        <v>16</v>
      </c>
      <c r="B20" s="40" t="inlineStr">
        <is>
          <t>ค</t>
        </is>
      </c>
      <c r="C20" s="54" t="inlineStr">
        <is>
          <t>หน่วยที่ 2: การเลือก Typography ใน Body Text</t>
        </is>
      </c>
      <c r="D20" s="54" t="inlineStr">
        <is>
          <t>เนื้อหาบทความบนหน้าจอควรใช้ฟอนต์สไตล์ Sans-Serif ที่สะอาด อ่านง่าย (Clean &amp; Modern) พร้อมทั้งกำหนด Line-height (ระยะห่างบรรทัด) ให้สบายตา</t>
        </is>
      </c>
    </row>
    <row r="21">
      <c r="A21" s="51" t="n">
        <v>17</v>
      </c>
      <c r="B21" s="40" t="inlineStr">
        <is>
          <t>ก</t>
        </is>
      </c>
      <c r="C21" s="52" t="inlineStr">
        <is>
          <t>หน่วยที่ 2: ความสอดคล้องของชุดไอคอน</t>
        </is>
      </c>
      <c r="D21" s="52" t="inlineStr">
        <is>
          <t>Iconography ที่ดีต้องรักษา Consistency โดยกำหนดน้ำหนักเส้น (Stroke), รัศมีมุมโค้ง (Corner Radius) และสไตล์ (Line Art หรือ Solid Fill) ให้เป็นมาตรฐานเดียวกันทั้งเว็บ</t>
        </is>
      </c>
    </row>
    <row r="22">
      <c r="A22" s="53" t="n">
        <v>18</v>
      </c>
      <c r="B22" s="40" t="inlineStr">
        <is>
          <t>ง</t>
        </is>
      </c>
      <c r="C22" s="54" t="inlineStr">
        <is>
          <t>หน่วยที่ 2: Grid System ใน Responsive Design</t>
        </is>
      </c>
      <c r="D22" s="54" t="inlineStr">
        <is>
          <t>ตามมาตรฐานสากล หน้าจอคอมพิวเตอร์ (Desktop/Web) นิยมแบ่งเป็น 12 คอลัมน์ เพื่อความยืดหยุ่นในการจัดเลย์เอาต์ ส่วนหน้าจอมือถือ (Mobile) นิยมใช้ 4 คอลัมน์</t>
        </is>
      </c>
    </row>
    <row r="23">
      <c r="A23" s="51" t="n">
        <v>19</v>
      </c>
      <c r="B23" s="40" t="inlineStr">
        <is>
          <t>ข</t>
        </is>
      </c>
      <c r="C23" s="52" t="inlineStr">
        <is>
          <t>หน่วยที่ 2: ลำดับชั้น Atomic Design (Molecules)</t>
        </is>
      </c>
      <c r="D23" s="52" t="inlineStr">
        <is>
          <t>Molecules เกิดจากการนำ Atoms มารวมกันทำงานเฉพาะอย่าง เช่น การนำ Label + Input + Button มารวมกันเป็น 'กล่องค้นหา (Search Box)'</t>
        </is>
      </c>
    </row>
    <row r="24">
      <c r="A24" s="53" t="n">
        <v>20</v>
      </c>
      <c r="B24" s="40" t="inlineStr">
        <is>
          <t>ค</t>
        </is>
      </c>
      <c r="C24" s="54" t="inlineStr">
        <is>
          <t>หน่วยที่ 2: หลัก Visual Hierarchy กับปุ่ม CTA</t>
        </is>
      </c>
      <c r="D24" s="54" t="inlineStr">
        <is>
          <t>การชี้นำสายตาไปยังปุ่ม Call-to-Action ที่ได้ผลดีที่สุด คือการใช้สีที่ตัดกับพื้นหลัง (Contrast), ขนาดที่โดดเด่น (Scale) และการเว้นพื้นที่ว่างรอบปุ่ม (Whitespace) เพื่อลดความแออัด</t>
        </is>
      </c>
    </row>
    <row r="25">
      <c r="A25" s="51" t="n">
        <v>21</v>
      </c>
      <c r="B25" s="40" t="inlineStr">
        <is>
          <t>ก</t>
        </is>
      </c>
      <c r="C25" s="52" t="inlineStr">
        <is>
          <t>หน่วยที่ 3: ข้อเปรียบเทียบ CSS Grid vs Flexbox</t>
        </is>
      </c>
      <c r="D25" s="52" t="inlineStr">
        <is>
          <t>CSS Grid ถูกออกแบบมาสำหรับการจัดเลย์เอาต์แบบ 2 มิติ (แถวและคอลัมน์พร้อมกัน) จึงเหมาะกับโครงสร้างหน้าเว็บหลัก ส่วน Flexbox เหมาะกับการจัดวางในแนวระนาบเดียว (1 มิติ)</t>
        </is>
      </c>
    </row>
    <row r="26">
      <c r="A26" s="53" t="n">
        <v>22</v>
      </c>
      <c r="B26" s="40" t="inlineStr">
        <is>
          <t>ค</t>
        </is>
      </c>
      <c r="C26" s="54" t="inlineStr">
        <is>
          <t>หน่วยที่ 3: ไวยากรณ์เริ่มต้น CSS Grid</t>
        </is>
      </c>
      <c r="D26" s="54" t="inlineStr">
        <is>
          <t>การเปิดใช้งานคอนเทนเนอร์ให้เป็นระบบ CSS Grid ต้องกำหนดคุณสมบัติ display: grid;</t>
        </is>
      </c>
    </row>
    <row r="27">
      <c r="A27" s="51" t="n">
        <v>23</v>
      </c>
      <c r="B27" s="40" t="inlineStr">
        <is>
          <t>ง</t>
        </is>
      </c>
      <c r="C27" s="52" t="inlineStr">
        <is>
          <t>หน่วยที่ 3: หน่วยเศษส่วน fr (Fraction)</t>
        </is>
      </c>
      <c r="D27" s="52" t="inlineStr">
        <is>
          <t>grid-template-columns: 1fr 2fr 1fr; แปลว่าพื้นที่ความกว้างทั้งหมดจะถูกแบ่งออกเป็น 4 ส่วน โดยคอลัมน์กลางจะได้รับพื้นที่ 2 ส่วน (กว้างเป็น 2 เท่าของคอลัมน์ซ้ายและขวา)</t>
        </is>
      </c>
    </row>
    <row r="28">
      <c r="A28" s="53" t="n">
        <v>24</v>
      </c>
      <c r="B28" s="40" t="inlineStr">
        <is>
          <t>ข</t>
        </is>
      </c>
      <c r="C28" s="54" t="inlineStr">
        <is>
          <t>หน่วยที่ 3: การใช้ฟังก์ชัน repeat()</t>
        </is>
      </c>
      <c r="D28" s="54" t="inlineStr">
        <is>
          <t>คำสั่ง repeat(4, 1fr) มีความหมายตรงตัวว่าทำซ้ำคอลัมน์ขนาด 1fr จำนวน 4 ครั้ง ซึ่งเทียบเท่ากับ 1fr 1fr 1fr 1fr</t>
        </is>
      </c>
    </row>
    <row r="29">
      <c r="A29" s="51" t="n">
        <v>25</v>
      </c>
      <c r="B29" s="40" t="inlineStr">
        <is>
          <t>ก</t>
        </is>
      </c>
      <c r="C29" s="52" t="inlineStr">
        <is>
          <t>หน่วยที่ 3: การตัดขึ้นแถวใหม่อัตโนมัติ</t>
        </is>
      </c>
      <c r="D29" s="52" t="inlineStr">
        <is>
          <t>เมื่อคอนเทนเนอร์กำหนดไว้ 3 คอลัมน์ กล่องที่ 1–3 จะอยู่แถวแรก และกล่องที่ 4 จะถูกตัดขึ้นแถวใหม่และแสดงเป็นคอลัมน์แรกของแถวที่ 2 โดยอัตโนมัติ</t>
        </is>
      </c>
    </row>
    <row r="30">
      <c r="A30" s="53" t="n">
        <v>26</v>
      </c>
      <c r="B30" s="40" t="inlineStr">
        <is>
          <t>ง</t>
        </is>
      </c>
      <c r="C30" s="54" t="inlineStr">
        <is>
          <t>หน่วยที่ 3: ประโยชน์ของคำสั่ง gap</t>
        </is>
      </c>
      <c r="D30" s="54" t="inlineStr">
        <is>
          <t>gap ช่วยสร้างระยะห่างระหว่าง Item ได้พอดีทั้งแถวและคอลัมน์ โดยไม่สร้างระยะขอบส่วนเกินที่ขอบนอกสุดเหมือนการใส่ margin ทีละกล่อง</t>
        </is>
      </c>
    </row>
    <row r="31">
      <c r="A31" s="51" t="n">
        <v>27</v>
      </c>
      <c r="B31" s="40" t="inlineStr">
        <is>
          <t>ค</t>
        </is>
      </c>
      <c r="C31" s="52" t="inlineStr">
        <is>
          <t>หน่วยที่ 3: การขยายแถวด้วย grid-row</t>
        </is>
      </c>
      <c r="D31" s="52" t="inlineStr">
        <is>
          <t>หากต้องการให้อิลิเมนต์ขยายครอบคลุมพื้นที่ในแนวดิ่ง (แถว) จำนวน 2 ช่อง ต้องใช้คำสั่ง grid-row: span 2;</t>
        </is>
      </c>
    </row>
    <row r="32">
      <c r="A32" s="53" t="n">
        <v>28</v>
      </c>
      <c r="B32" s="40" t="inlineStr">
        <is>
          <t>ข</t>
        </is>
      </c>
      <c r="C32" s="54" t="inlineStr">
        <is>
          <t>หน่วยที่ 3: การรวมเซลล์ใน grid-template-areas</t>
        </is>
      </c>
      <c r="D32" s="54" t="inlineStr">
        <is>
          <t>ใน grid-template-areas คำที่ซ้ำกันติดกันในแถวเดียวกัน เช่น 'header header' หมายถึงช่องของคอลัมน์ที่ 1 และ 2 ถูกรวม (Merge) เข้าด้วยกันเป็นแถบยาวผืนเดียว</t>
        </is>
      </c>
    </row>
    <row r="33">
      <c r="A33" s="51" t="n">
        <v>29</v>
      </c>
      <c r="B33" s="40" t="inlineStr">
        <is>
          <t>ง</t>
        </is>
      </c>
      <c r="C33" s="52" t="inlineStr">
        <is>
          <t>หน่วยที่ 3: คุณสมบัติ grid-area ในการผูกพื้นที่</t>
        </is>
      </c>
      <c r="D33" s="52" t="inlineStr">
        <is>
          <t>การระบุชื่อพื้นที่ให้กับอิลิเมนต์ลูกเพื่อนำไปจับคู่กับเทมเพลต ต้องใช้คำสั่ง grid-area: header;</t>
        </is>
      </c>
    </row>
    <row r="34">
      <c r="A34" s="53" t="n">
        <v>30</v>
      </c>
      <c r="B34" s="40" t="inlineStr">
        <is>
          <t>ค</t>
        </is>
      </c>
      <c r="C34" s="54" t="inlineStr">
        <is>
          <t>หน่วยที่ 3: กฎ 8pt Spacing System</t>
        </is>
      </c>
      <c r="D34" s="54" t="inlineStr">
        <is>
          <t>ในระบบ 8pt Spacing System ค่าตัวเลขต้องเป็นพหุคูณที่หารด้วย 8 ลงตัวเสมอ (เช่น 8px, 16px, 24px, 32px, 40px, 48px) ดังนั้น 22px จึงไม่สอดคล้องกับระบบนี้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2026-09-14T18:39:21Z</dcterms:created>
  <dcterms:modified xmlns:dcterms="http://purl.org/dc/terms/" xmlns:xsi="http://www.w3.org/2001/XMLSchema-instance" xsi:type="dcterms:W3CDTF">2026-09-14T18:39:21Z</dcterms:modified>
</cp:coreProperties>
</file>