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ภาพรวมและสถิติ" sheetId="1" state="visible" r:id="rId1"/>
    <sheet xmlns:r="http://schemas.openxmlformats.org/officeDocument/2006/relationships" name="คะแนนรวม 2 ห้อง (34 คน)" sheetId="2" state="visible" r:id="rId2"/>
    <sheet xmlns:r="http://schemas.openxmlformats.org/officeDocument/2006/relationships" name="คะแนนเก็บแบบฝึกหัด (34 คน)" sheetId="3" state="visible" r:id="rId3"/>
    <sheet xmlns:r="http://schemas.openxmlformats.org/officeDocument/2006/relationships" name="ห้อง 1 - ตรวจข้อสอบละเอียด" sheetId="4" state="visible" r:id="rId4"/>
    <sheet xmlns:r="http://schemas.openxmlformats.org/officeDocument/2006/relationships" name="ห้อง 2 - ตรวจข้อสอบละเอียด" sheetId="5" state="visible" r:id="rId5"/>
    <sheet xmlns:r="http://schemas.openxmlformats.org/officeDocument/2006/relationships" name="วิเคราะห์ข้อสอบ (Item Analysis)" sheetId="6" state="visible" r:id="rId6"/>
    <sheet xmlns:r="http://schemas.openxmlformats.org/officeDocument/2006/relationships" name="เฉลยและเกณฑ์การให้คะแนน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4">
    <font>
      <name val="Calibri"/>
      <family val="2"/>
      <color theme="1"/>
      <sz val="11"/>
      <scheme val="minor"/>
    </font>
    <font>
      <name val="Leelawadee UI"/>
      <b val="1"/>
      <color rgb="001B365D"/>
      <sz val="14"/>
    </font>
    <font>
      <name val="Leelawadee UI"/>
      <color rgb="004A6572"/>
      <sz val="11"/>
    </font>
    <font>
      <name val="Leelawadee UI"/>
      <b val="1"/>
      <color rgb="001B365D"/>
      <sz val="11"/>
    </font>
    <font>
      <name val="Leelawadee UI"/>
      <b val="1"/>
      <color rgb="00FFFFFF"/>
      <sz val="10"/>
    </font>
    <font>
      <name val="Leelawadee UI"/>
      <b val="1"/>
      <color rgb="00000000"/>
      <sz val="10"/>
    </font>
    <font>
      <name val="Leelawadee UI"/>
      <color rgb="00000000"/>
      <sz val="10"/>
    </font>
    <font>
      <name val="Leelawadee UI"/>
      <b val="1"/>
      <color rgb="001B365D"/>
      <sz val="10"/>
    </font>
    <font>
      <name val="Leelawadee UI"/>
      <b val="1"/>
      <color rgb="00276A3C"/>
      <sz val="10"/>
    </font>
    <font>
      <name val="Leelawadee UI"/>
      <b val="1"/>
      <color rgb="009C0006"/>
      <sz val="10"/>
    </font>
    <font>
      <name val="Leelawadee UI"/>
      <b val="1"/>
      <color rgb="00805300"/>
      <sz val="10"/>
    </font>
    <font>
      <name val="Leelawadee UI"/>
      <color rgb="008A3B14"/>
      <sz val="10"/>
    </font>
    <font>
      <name val="Leelawadee UI"/>
      <b val="1"/>
      <color rgb="008A3B14"/>
      <sz val="10"/>
    </font>
    <font>
      <name val="Leelawadee UI"/>
      <b val="1"/>
      <color rgb="001B5E20"/>
      <sz val="11"/>
    </font>
    <font>
      <name val="Leelawadee UI"/>
      <color rgb="00C62828"/>
      <sz val="11"/>
    </font>
    <font>
      <name val="Leelawadee UI"/>
      <b val="1"/>
      <color rgb="000D47A1"/>
      <sz val="13"/>
    </font>
    <font>
      <name val="Leelawadee UI"/>
      <b val="1"/>
      <color rgb="00FFFFFF"/>
      <sz val="12"/>
    </font>
    <font>
      <name val="Leelawadee UI"/>
      <color rgb="002D3748"/>
      <sz val="11"/>
    </font>
    <font>
      <name val="Leelawadee UI"/>
      <b val="1"/>
      <color rgb="001A202C"/>
      <sz val="11"/>
    </font>
    <font>
      <name val="Leelawadee UI"/>
      <b val="1"/>
      <color rgb="000D47A1"/>
      <sz val="15"/>
    </font>
    <font>
      <name val="Leelawadee UI"/>
      <color rgb="00546E7A"/>
      <sz val="11"/>
    </font>
    <font>
      <name val="Leelawadee UI"/>
      <b val="1"/>
      <color rgb="001A202C"/>
      <sz val="10"/>
    </font>
    <font>
      <name val="Leelawadee UI"/>
      <color rgb="002D3748"/>
      <sz val="10"/>
    </font>
    <font>
      <name val="Leelawadee UI"/>
      <b val="1"/>
      <color rgb="001A365D"/>
      <sz val="10"/>
    </font>
  </fonts>
  <fills count="2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  <fill>
      <patternFill patternType="solid">
        <fgColor rgb="002E5B88"/>
        <bgColor rgb="002E5B88"/>
      </patternFill>
    </fill>
    <fill>
      <patternFill patternType="solid">
        <fgColor rgb="00EAEEF3"/>
        <bgColor rgb="00EAEEF3"/>
      </patternFill>
    </fill>
    <fill>
      <patternFill patternType="solid">
        <fgColor rgb="00D9E1F2"/>
        <bgColor rgb="00D9E1F2"/>
      </patternFill>
    </fill>
    <fill>
      <patternFill patternType="solid">
        <fgColor rgb="00D6DCE5"/>
        <bgColor rgb="00D6DCE5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F2F9F3"/>
        <bgColor rgb="00F2F9F3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1A365D"/>
      </patternFill>
    </fill>
    <fill>
      <patternFill patternType="solid">
        <fgColor rgb="00E2E8F0"/>
      </patternFill>
    </fill>
    <fill>
      <patternFill patternType="solid">
        <fgColor rgb="0000695C"/>
      </patternFill>
    </fill>
    <fill>
      <patternFill patternType="solid">
        <fgColor rgb="00E0F2F1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10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medium">
        <color rgb="001B365D"/>
      </bottom>
      <diagonal/>
    </border>
    <border>
      <left/>
      <right style="thin">
        <color rgb="00D3D3D3"/>
      </right>
      <top style="thin">
        <color rgb="00D3D3D3"/>
      </top>
      <bottom style="medium">
        <color rgb="001B365D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A365D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left" vertical="center"/>
    </xf>
    <xf numFmtId="0" fontId="0" fillId="5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0" fillId="6" borderId="2" pivotButton="0" quotePrefix="0" xfId="0"/>
    <xf numFmtId="0" fontId="5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0" fillId="5" borderId="3" pivotButton="0" quotePrefix="0" xfId="0"/>
    <xf numFmtId="0" fontId="7" fillId="5" borderId="3" applyAlignment="1" pivotButton="0" quotePrefix="0" xfId="0">
      <alignment horizontal="right" vertical="center"/>
    </xf>
    <xf numFmtId="0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/>
    </xf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right" vertical="center"/>
    </xf>
    <xf numFmtId="0" fontId="5" fillId="8" borderId="2" applyAlignment="1" pivotButton="0" quotePrefix="0" xfId="0">
      <alignment horizontal="center" vertical="center" wrapText="1"/>
    </xf>
    <xf numFmtId="164" fontId="7" fillId="12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164" fontId="8" fillId="13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center" vertical="center" wrapText="1"/>
    </xf>
    <xf numFmtId="164" fontId="8" fillId="8" borderId="2" applyAlignment="1" pivotButton="0" quotePrefix="0" xfId="0">
      <alignment horizontal="center" vertical="center" wrapText="1"/>
    </xf>
    <xf numFmtId="164" fontId="12" fillId="11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0" fillId="0" borderId="3" pivotButton="0" quotePrefix="0" xfId="0"/>
    <xf numFmtId="164" fontId="7" fillId="5" borderId="3" applyAlignment="1" pivotButton="0" quotePrefix="0" xfId="0">
      <alignment horizontal="center" vertical="center" wrapText="1"/>
    </xf>
    <xf numFmtId="0" fontId="15" fillId="0" borderId="0" pivotButton="0" quotePrefix="0" xfId="0"/>
    <xf numFmtId="0" fontId="16" fillId="16" borderId="8" applyAlignment="1" pivotButton="0" quotePrefix="0" xfId="0">
      <alignment horizontal="center" vertical="center"/>
    </xf>
    <xf numFmtId="0" fontId="17" fillId="0" borderId="8" applyAlignment="1" pivotButton="0" quotePrefix="0" xfId="0">
      <alignment horizontal="left" vertical="center"/>
    </xf>
    <xf numFmtId="0" fontId="17" fillId="0" borderId="8" applyAlignment="1" pivotButton="0" quotePrefix="0" xfId="0">
      <alignment horizontal="center" vertical="center"/>
    </xf>
    <xf numFmtId="0" fontId="18" fillId="17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" fontId="13" fillId="14" borderId="2" applyAlignment="1" pivotButton="0" quotePrefix="0" xfId="0">
      <alignment horizontal="center" vertical="center"/>
    </xf>
    <xf numFmtId="165" fontId="13" fillId="14" borderId="2" applyAlignment="1" pivotButton="0" quotePrefix="0" xfId="0">
      <alignment horizontal="center" vertical="center"/>
    </xf>
    <xf numFmtId="0" fontId="14" fillId="15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4" fillId="18" borderId="8" applyAlignment="1" pivotButton="0" quotePrefix="0" xfId="0">
      <alignment horizontal="center" vertical="center" wrapText="1"/>
    </xf>
    <xf numFmtId="0" fontId="21" fillId="19" borderId="8" applyAlignment="1" pivotButton="0" quotePrefix="0" xfId="0">
      <alignment horizontal="center" vertical="center"/>
    </xf>
    <xf numFmtId="0" fontId="21" fillId="19" borderId="8" applyAlignment="1" pivotButton="0" quotePrefix="0" xfId="0">
      <alignment horizontal="right" vertical="center"/>
    </xf>
    <xf numFmtId="0" fontId="22" fillId="20" borderId="8" applyAlignment="1" pivotButton="0" quotePrefix="0" xfId="0">
      <alignment horizontal="center" vertical="center"/>
    </xf>
    <xf numFmtId="0" fontId="22" fillId="20" borderId="8" applyAlignment="1" pivotButton="0" quotePrefix="0" xfId="0">
      <alignment horizontal="left" vertical="center"/>
    </xf>
    <xf numFmtId="1" fontId="22" fillId="20" borderId="8" applyAlignment="1" pivotButton="0" quotePrefix="0" xfId="0">
      <alignment horizontal="center" vertical="center"/>
    </xf>
    <xf numFmtId="0" fontId="21" fillId="20" borderId="8" applyAlignment="1" pivotButton="0" quotePrefix="0" xfId="0">
      <alignment horizontal="center" vertical="center"/>
    </xf>
    <xf numFmtId="0" fontId="22" fillId="21" borderId="8" applyAlignment="1" pivotButton="0" quotePrefix="0" xfId="0">
      <alignment horizontal="center" vertical="center"/>
    </xf>
    <xf numFmtId="0" fontId="22" fillId="21" borderId="8" applyAlignment="1" pivotButton="0" quotePrefix="0" xfId="0">
      <alignment horizontal="left" vertical="center"/>
    </xf>
    <xf numFmtId="1" fontId="22" fillId="21" borderId="8" applyAlignment="1" pivotButton="0" quotePrefix="0" xfId="0">
      <alignment horizontal="center" vertical="center"/>
    </xf>
    <xf numFmtId="0" fontId="21" fillId="21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right" vertical="center"/>
    </xf>
    <xf numFmtId="0" fontId="0" fillId="17" borderId="8" pivotButton="0" quotePrefix="0" xfId="0"/>
    <xf numFmtId="0" fontId="21" fillId="17" borderId="8" applyAlignment="1" pivotButton="0" quotePrefix="0" xfId="0">
      <alignment horizontal="center" vertical="center"/>
    </xf>
    <xf numFmtId="0" fontId="23" fillId="17" borderId="9" applyAlignment="1" pivotButton="0" quotePrefix="0" xfId="0">
      <alignment horizontal="right" vertical="center"/>
    </xf>
    <xf numFmtId="0" fontId="0" fillId="17" borderId="9" pivotButton="0" quotePrefix="0" xfId="0"/>
    <xf numFmtId="0" fontId="21" fillId="17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6" customWidth="1" min="4" max="4"/>
    <col width="42" customWidth="1" min="5" max="5"/>
    <col width="18" customWidth="1" min="6" max="6"/>
  </cols>
  <sheetData>
    <row r="1">
      <c r="A1" s="1" t="inlineStr">
        <is>
          <t>📊 รายงานสรุปผลการสอบวัดผลสัมฤทธิ์ปลายภาคเรียน (Final Examination)</t>
        </is>
      </c>
    </row>
    <row r="2">
      <c r="A2" s="2" t="inlineStr">
        <is>
          <t>รหัสวิชา 21909-1006 พื้นฐานการสร้างเว็บไซต์  |  ระดับชั้น ปวช. 1 ชทค. (ห้อง 1 และ 2)  |  ภาคเรียนที่ 1 ปีการศึกษา 2569</t>
        </is>
      </c>
    </row>
    <row r="4">
      <c r="A4" s="3" t="inlineStr">
        <is>
          <t>📌 สรุปสถิติผลการสอบตอนที่ 1 (ปรนัย 30 ข้อ 30 คะแนน) เปรียบเทียบระหว่างห้อง</t>
        </is>
      </c>
    </row>
    <row r="5">
      <c r="A5" s="4" t="inlineStr">
        <is>
          <t>รายการสถิติ</t>
        </is>
      </c>
      <c r="B5" s="4" t="inlineStr">
        <is>
          <t>ห้อง 1</t>
        </is>
      </c>
      <c r="C5" s="4" t="inlineStr">
        <is>
          <t>ห้อง 2</t>
        </is>
      </c>
      <c r="D5" s="4" t="inlineStr">
        <is>
          <t>รวมทั้ง 2 ห้อง</t>
        </is>
      </c>
      <c r="E5" s="4" t="inlineStr">
        <is>
          <t>เกณฑ์อ้างอิง / หมายเหตุ</t>
        </is>
      </c>
    </row>
    <row r="6">
      <c r="A6" s="5" t="inlineStr">
        <is>
          <t>จำนวนนักเรียนทั้งหมดในทะเบียน</t>
        </is>
      </c>
      <c r="B6" s="6" t="inlineStr">
        <is>
          <t>18 คน</t>
        </is>
      </c>
      <c r="C6" s="6" t="inlineStr">
        <is>
          <t>16 คน</t>
        </is>
      </c>
      <c r="D6" s="6" t="inlineStr">
        <is>
          <t>34 คน</t>
        </is>
      </c>
      <c r="E6" s="7" t="inlineStr">
        <is>
          <t>รหัส 001 - 035</t>
        </is>
      </c>
    </row>
    <row r="7">
      <c r="A7" s="8" t="inlineStr">
        <is>
          <t>จำนวนนักเรียนที่เข้าสอบ</t>
        </is>
      </c>
      <c r="B7" s="9" t="inlineStr">
        <is>
          <t>16 คน (88.89%)</t>
        </is>
      </c>
      <c r="C7" s="9" t="inlineStr">
        <is>
          <t>15 คน (93.75%)</t>
        </is>
      </c>
      <c r="D7" s="9" t="inlineStr">
        <is>
          <t>31 คน (91.18%)</t>
        </is>
      </c>
      <c r="E7" s="10" t="inlineStr">
        <is>
          <t>ส่งกระดาษคำตอบครบ 31 แผ่น</t>
        </is>
      </c>
    </row>
    <row r="8">
      <c r="A8" s="5" t="inlineStr">
        <is>
          <t>จำนวนนักเรียนที่ขาดสอบ</t>
        </is>
      </c>
      <c r="B8" s="6" t="inlineStr">
        <is>
          <t>2 คน (11.11%)</t>
        </is>
      </c>
      <c r="C8" s="6" t="inlineStr">
        <is>
          <t>1 คน (6.25%)</t>
        </is>
      </c>
      <c r="D8" s="6" t="inlineStr">
        <is>
          <t>3 คน (8.82%)</t>
        </is>
      </c>
      <c r="E8" s="7" t="inlineStr">
        <is>
          <t>รหัส 008, 014 (ห้อง 1), 025 (ห้อง 2)</t>
        </is>
      </c>
    </row>
    <row r="9">
      <c r="A9" s="8" t="inlineStr">
        <is>
          <t>คะแนนเต็ม (ปรนัย ตอนที่ 1)</t>
        </is>
      </c>
      <c r="B9" s="9" t="inlineStr">
        <is>
          <t>30 คะแนน</t>
        </is>
      </c>
      <c r="C9" s="9" t="inlineStr">
        <is>
          <t>30 คะแนน</t>
        </is>
      </c>
      <c r="D9" s="9" t="inlineStr">
        <is>
          <t>30 คะแนน</t>
        </is>
      </c>
      <c r="E9" s="10" t="inlineStr">
        <is>
          <t>30 ข้อ (ข้อละ 1 คะแนน)</t>
        </is>
      </c>
    </row>
    <row r="10">
      <c r="A10" s="5" t="inlineStr">
        <is>
          <t>คะแนนเฉลี่ย (Mean)</t>
        </is>
      </c>
      <c r="B10" s="6">
        <f>ROUND(AVERAGE('คะแนนรวม 2 ห้อง (34 คน)'!G7:G24), 2)</f>
        <v/>
      </c>
      <c r="C10" s="6">
        <f>ROUND(AVERAGE('คะแนนรวม 2 ห้อง (34 คน)'!G25:G40), 2)</f>
        <v/>
      </c>
      <c r="D10" s="6">
        <f>ROUND(AVERAGE('คะแนนรวม 2 ห้อง (34 คน)'!G7:G40), 2)</f>
        <v/>
      </c>
      <c r="E10" s="7" t="inlineStr">
        <is>
          <t>คิดจากผู้เข้าสอบ</t>
        </is>
      </c>
    </row>
    <row r="11">
      <c r="A11" s="8" t="inlineStr">
        <is>
          <t>คะแนนสูงสุด (Max)</t>
        </is>
      </c>
      <c r="B11" s="9">
        <f>MAX('คะแนนรวม 2 ห้อง (34 คน)'!G7:G24)</f>
        <v/>
      </c>
      <c r="C11" s="9">
        <f>MAX('คะแนนรวม 2 ห้อง (34 คน)'!G25:G40)</f>
        <v/>
      </c>
      <c r="D11" s="9">
        <f>MAX('คะแนนรวม 2 ห้อง (34 คน)'!G7:G40)</f>
        <v/>
      </c>
      <c r="E11" s="10" t="inlineStr">
        <is>
          <t>คะแนนสูงสุดทั้งสองห้อง</t>
        </is>
      </c>
    </row>
    <row r="12">
      <c r="A12" s="5" t="inlineStr">
        <is>
          <t>คะแนนต่ำสุด (Min)</t>
        </is>
      </c>
      <c r="B12" s="6">
        <f>MIN('คะแนนรวม 2 ห้อง (34 คน)'!G7:G24)</f>
        <v/>
      </c>
      <c r="C12" s="6">
        <f>MIN('คะแนนรวม 2 ห้อง (34 คน)'!G25:G40)</f>
        <v/>
      </c>
      <c r="D12" s="6">
        <f>MIN('คะแนนรวม 2 ห้อง (34 คน)'!G7:G40)</f>
        <v/>
      </c>
      <c r="E12" s="7" t="inlineStr">
        <is>
          <t>คะแนนต่ำสุดทั้งสองห้อง</t>
        </is>
      </c>
    </row>
    <row r="13">
      <c r="A13" s="8" t="inlineStr">
        <is>
          <t>ส่วนเบี่ยงเบนมาตรฐาน (S.D.)</t>
        </is>
      </c>
      <c r="B13" s="9">
        <f>ROUND(STDEV.P('คะแนนรวม 2 ห้อง (34 คน)'!G7:G24), 2)</f>
        <v/>
      </c>
      <c r="C13" s="9">
        <f>ROUND(STDEV.P('คะแนนรวม 2 ห้อง (34 คน)'!G25:G40), 2)</f>
        <v/>
      </c>
      <c r="D13" s="9">
        <f>ROUND(STDEV.P('คะแนนรวม 2 ห้อง (34 คน)'!G7:G40), 2)</f>
        <v/>
      </c>
      <c r="E13" s="10" t="inlineStr">
        <is>
          <t>ประชากรผู้เข้าสอบ</t>
        </is>
      </c>
    </row>
    <row r="14">
      <c r="A14" s="5" t="inlineStr">
        <is>
          <t>จำนวนนักเรียนที่ผ่านเกณฑ์ (≥ 15 คะแนน / 50%)</t>
        </is>
      </c>
      <c r="B14" s="6">
        <f>COUNTIF('คะแนนรวม 2 ห้อง (34 คน)'!G7:G24, "&gt;=15")</f>
        <v/>
      </c>
      <c r="C14" s="6">
        <f>COUNTIF('คะแนนรวม 2 ห้อง (34 คน)'!G25:G40, "&gt;=15")</f>
        <v/>
      </c>
      <c r="D14" s="6">
        <f>COUNTIF('คะแนนรวม 2 ห้อง (34 คน)'!G7:G40, "&gt;=15")</f>
        <v/>
      </c>
      <c r="E14" s="7" t="inlineStr">
        <is>
          <t>เกณฑ์ผ่าน 50% ของคะแนนเต็ม</t>
        </is>
      </c>
    </row>
    <row r="15">
      <c r="A15" s="8" t="inlineStr">
        <is>
          <t>ร้อยละการผ่านเกณฑ์</t>
        </is>
      </c>
      <c r="B15" s="9">
        <f>ROUND(B14/16*100, 2) &amp; "%"</f>
        <v/>
      </c>
      <c r="C15" s="9">
        <f>ROUND(C14/15*100, 2) &amp; "%"</f>
        <v/>
      </c>
      <c r="D15" s="9">
        <f>ROUND(D14/31*100, 2) &amp; "%"</f>
        <v/>
      </c>
      <c r="E15" s="10" t="inlineStr">
        <is>
          <t>เทียบกับจำนวนผู้เข้าสอบ</t>
        </is>
      </c>
    </row>
    <row r="18">
      <c r="A18" s="3" t="inlineStr">
        <is>
          <t>📈 การกระจายตัวของระดับคะแนน (Score Distribution)</t>
        </is>
      </c>
    </row>
    <row r="19">
      <c r="A19" s="11" t="inlineStr">
        <is>
          <t>ช่วงคะแนน (เต็ม 30)</t>
        </is>
      </c>
      <c r="B19" s="11" t="inlineStr">
        <is>
          <t>ระดับผลการเรียนรู้</t>
        </is>
      </c>
      <c r="C19" s="11" t="inlineStr">
        <is>
          <t>ห้อง 1 (คน)</t>
        </is>
      </c>
      <c r="D19" s="11" t="inlineStr">
        <is>
          <t>ห้อง 2 (คน)</t>
        </is>
      </c>
      <c r="E19" s="11" t="inlineStr">
        <is>
          <t>รวม (คน)</t>
        </is>
      </c>
      <c r="F19" s="11" t="inlineStr">
        <is>
          <t>ร้อยละสะสม</t>
        </is>
      </c>
    </row>
    <row r="20">
      <c r="A20" s="7" t="inlineStr">
        <is>
          <t>25 - 30 คะแนน</t>
        </is>
      </c>
      <c r="B20" s="7" t="inlineStr">
        <is>
          <t>ดีเยี่ยม (Excellent)</t>
        </is>
      </c>
      <c r="C20" s="6">
        <f>COUNTIFS('คะแนนรวม 2 ห้อง (34 คน)'!G7:G24, "&gt;=25", 'คะแนนรวม 2 ห้อง (34 คน)'!G7:G24, "&lt;=30")</f>
        <v/>
      </c>
      <c r="D20" s="6">
        <f>COUNTIFS('คะแนนรวม 2 ห้อง (34 คน)'!G25:G40, "&gt;=25", 'คะแนนรวม 2 ห้อง (34 คน)'!G25:G40, "&lt;=30")</f>
        <v/>
      </c>
      <c r="E20" s="6">
        <f>SUM(C20:D20)</f>
        <v/>
      </c>
      <c r="F20" s="6">
        <f>ROUND(E20/31*100, 1) &amp; "%"</f>
        <v/>
      </c>
    </row>
    <row r="21">
      <c r="A21" s="10" t="inlineStr">
        <is>
          <t>20 - 24 คะแนน</t>
        </is>
      </c>
      <c r="B21" s="10" t="inlineStr">
        <is>
          <t>ดีมาก (Very Good)</t>
        </is>
      </c>
      <c r="C21" s="9">
        <f>COUNTIFS('คะแนนรวม 2 ห้อง (34 คน)'!G7:G24, "&gt;=20", 'คะแนนรวม 2 ห้อง (34 คน)'!G7:G24, "&lt;25")</f>
        <v/>
      </c>
      <c r="D21" s="9">
        <f>COUNTIFS('คะแนนรวม 2 ห้อง (34 คน)'!G25:G40, "&gt;=20", 'คะแนนรวม 2 ห้อง (34 คน)'!G25:G40, "&lt;25")</f>
        <v/>
      </c>
      <c r="E21" s="9">
        <f>SUM(C21:D21)</f>
        <v/>
      </c>
      <c r="F21" s="9">
        <f>ROUND(E21/31*100, 1) &amp; "%"</f>
        <v/>
      </c>
    </row>
    <row r="22">
      <c r="A22" s="7" t="inlineStr">
        <is>
          <t>15 - 19 คะแนน</t>
        </is>
      </c>
      <c r="B22" s="7" t="inlineStr">
        <is>
          <t>ผ่านเกณฑ์ (Fair/Pass)</t>
        </is>
      </c>
      <c r="C22" s="6">
        <f>COUNTIFS('คะแนนรวม 2 ห้อง (34 คน)'!G7:G24, "&gt;=15", 'คะแนนรวม 2 ห้อง (34 คน)'!G7:G24, "&lt;20")</f>
        <v/>
      </c>
      <c r="D22" s="6">
        <f>COUNTIFS('คะแนนรวม 2 ห้อง (34 คน)'!G25:G40, "&gt;=15", 'คะแนนรวม 2 ห้อง (34 คน)'!G25:G40, "&lt;20")</f>
        <v/>
      </c>
      <c r="E22" s="6">
        <f>SUM(C22:D22)</f>
        <v/>
      </c>
      <c r="F22" s="6">
        <f>ROUND(E22/31*100, 1) &amp; "%"</f>
        <v/>
      </c>
    </row>
    <row r="23">
      <c r="A23" s="10" t="inlineStr">
        <is>
          <t>10 - 14 คะแนน</t>
        </is>
      </c>
      <c r="B23" s="10" t="inlineStr">
        <is>
          <t>ควรปรับปรุง (Needs Improvement)</t>
        </is>
      </c>
      <c r="C23" s="9">
        <f>COUNTIFS('คะแนนรวม 2 ห้อง (34 คน)'!G7:G24, "&gt;=10", 'คะแนนรวม 2 ห้อง (34 คน)'!G7:G24, "&lt;15")</f>
        <v/>
      </c>
      <c r="D23" s="9">
        <f>COUNTIFS('คะแนนรวม 2 ห้อง (34 คน)'!G25:G40, "&gt;=10", 'คะแนนรวม 2 ห้อง (34 คน)'!G25:G40, "&lt;15")</f>
        <v/>
      </c>
      <c r="E23" s="9">
        <f>SUM(C23:D23)</f>
        <v/>
      </c>
      <c r="F23" s="9">
        <f>ROUND(E23/31*100, 1) &amp; "%"</f>
        <v/>
      </c>
    </row>
    <row r="24">
      <c r="A24" s="7" t="inlineStr">
        <is>
          <t>0 - 9 คะแนน</t>
        </is>
      </c>
      <c r="B24" s="7" t="inlineStr">
        <is>
          <t>ต้องได้รับการแก้ไข (Unsatisfactory)</t>
        </is>
      </c>
      <c r="C24" s="6">
        <f>COUNTIFS('คะแนนรวม 2 ห้อง (34 คน)'!G7:G24, "&gt;=0", 'คะแนนรวม 2 ห้อง (34 คน)'!G7:G24, "&lt;10")</f>
        <v/>
      </c>
      <c r="D24" s="6">
        <f>COUNTIFS('คะแนนรวม 2 ห้อง (34 คน)'!G25:G40, "&gt;=0", 'คะแนนรวม 2 ห้อง (34 คน)'!G25:G40, "&lt;10")</f>
        <v/>
      </c>
      <c r="E24" s="6">
        <f>SUM(C24:D24)</f>
        <v/>
      </c>
      <c r="F24" s="6">
        <f>ROUND(E24/31*100, 1) &amp; "%"</f>
        <v/>
      </c>
    </row>
    <row r="25">
      <c r="A25" s="12" t="inlineStr">
        <is>
          <t>รวมผู้เข้าสอบทั้งหมด</t>
        </is>
      </c>
      <c r="B25" s="13" t="inlineStr">
        <is>
          <t>-</t>
        </is>
      </c>
      <c r="C25" s="14">
        <f>SUM(C20:C24)</f>
        <v/>
      </c>
      <c r="D25" s="14">
        <f>SUM(D20:D24)</f>
        <v/>
      </c>
      <c r="E25" s="14">
        <f>SUM(E20:E24)</f>
        <v/>
      </c>
      <c r="F25" s="14" t="inlineStr">
        <is>
          <t>100.0%</t>
        </is>
      </c>
    </row>
    <row r="28">
      <c r="A28" s="47" t="inlineStr">
        <is>
          <t>🏆 สรุปสถิติผลการสอบปลายภาครวม (ปรนัย 30 + อัตนัย 20 = เต็ม 50 คะแนน)</t>
        </is>
      </c>
    </row>
    <row r="29">
      <c r="A29" s="48" t="inlineStr">
        <is>
          <t>รายการสถิติ</t>
        </is>
      </c>
      <c r="B29" s="48" t="inlineStr">
        <is>
          <t>ห้อง 1</t>
        </is>
      </c>
      <c r="C29" s="48" t="inlineStr">
        <is>
          <t>ห้อง 2</t>
        </is>
      </c>
      <c r="D29" s="48" t="inlineStr">
        <is>
          <t>รวมทั้ง 2 ห้อง</t>
        </is>
      </c>
      <c r="E29" s="48" t="inlineStr">
        <is>
          <t>เกณฑ์อ้างอิง / หมายเหตุ</t>
        </is>
      </c>
    </row>
    <row r="30">
      <c r="A30" s="49" t="inlineStr">
        <is>
          <t>คะแนนเต็มรวม (ปลายภาค)</t>
        </is>
      </c>
      <c r="B30" s="50" t="inlineStr">
        <is>
          <t>50 คะแนน</t>
        </is>
      </c>
      <c r="C30" s="50" t="inlineStr">
        <is>
          <t>50 คะแนน</t>
        </is>
      </c>
      <c r="D30" s="50" t="inlineStr">
        <is>
          <t>50 คะแนน</t>
        </is>
      </c>
      <c r="E30" s="50" t="inlineStr">
        <is>
          <t>ปรนัย 30 + อัตนัย 20</t>
        </is>
      </c>
    </row>
    <row r="31">
      <c r="A31" s="49" t="inlineStr">
        <is>
          <t>คะแนนเฉลี่ยรวม (Mean)</t>
        </is>
      </c>
      <c r="B31" s="50">
        <f>ROUND(AVERAGE('คะแนนรวม 2 ห้อง (34 คน)'!I7:I24), 2)</f>
        <v/>
      </c>
      <c r="C31" s="50">
        <f>ROUND(AVERAGE('คะแนนรวม 2 ห้อง (34 คน)'!I25:I40), 2)</f>
        <v/>
      </c>
      <c r="D31" s="50">
        <f>ROUND(AVERAGE('คะแนนรวม 2 ห้อง (34 คน)'!I7:I40), 2)</f>
        <v/>
      </c>
      <c r="E31" s="50" t="inlineStr">
        <is>
          <t>คิดจากผู้เข้าสอบ</t>
        </is>
      </c>
    </row>
    <row r="32">
      <c r="A32" s="49" t="inlineStr">
        <is>
          <t>คะแนนสูงสุด (Max)</t>
        </is>
      </c>
      <c r="B32" s="50">
        <f>MAX('คะแนนรวม 2 ห้อง (34 คน)'!I7:I24)</f>
        <v/>
      </c>
      <c r="C32" s="50">
        <f>MAX('คะแนนรวม 2 ห้อง (34 คน)'!I25:I40)</f>
        <v/>
      </c>
      <c r="D32" s="50">
        <f>MAX('คะแนนรวม 2 ห้อง (34 คน)'!I7:I40)</f>
        <v/>
      </c>
      <c r="E32" s="50" t="inlineStr">
        <is>
          <t>คะแนนสูงสุดทั้งสองห้อง</t>
        </is>
      </c>
    </row>
    <row r="33">
      <c r="A33" s="49" t="inlineStr">
        <is>
          <t>คะแนนต่ำสุด (Min)</t>
        </is>
      </c>
      <c r="B33" s="50">
        <f>MIN('คะแนนรวม 2 ห้อง (34 คน)'!I7:I24)</f>
        <v/>
      </c>
      <c r="C33" s="50">
        <f>MIN('คะแนนรวม 2 ห้อง (34 คน)'!I25:I40)</f>
        <v/>
      </c>
      <c r="D33" s="50">
        <f>MIN('คะแนนรวม 2 ห้อง (34 คน)'!I7:I40)</f>
        <v/>
      </c>
      <c r="E33" s="50" t="inlineStr">
        <is>
          <t>คะแนนต่ำสุดทั้งสองห้อง</t>
        </is>
      </c>
    </row>
    <row r="34">
      <c r="A34" s="49" t="inlineStr">
        <is>
          <t>ส่วนเบี่ยงเบนมาตรฐาน (S.D.)</t>
        </is>
      </c>
      <c r="B34" s="50">
        <f>ROUND(STDEV.P('คะแนนรวม 2 ห้อง (34 คน)'!I7:I24), 2)</f>
        <v/>
      </c>
      <c r="C34" s="50">
        <f>ROUND(STDEV.P('คะแนนรวม 2 ห้อง (34 คน)'!I25:I40), 2)</f>
        <v/>
      </c>
      <c r="D34" s="50">
        <f>ROUND(STDEV.P('คะแนนรวม 2 ห้อง (34 คน)'!I7:I40), 2)</f>
        <v/>
      </c>
      <c r="E34" s="50" t="inlineStr">
        <is>
          <t>ประชากรผู้เข้าสอบ</t>
        </is>
      </c>
    </row>
    <row r="35">
      <c r="A35" s="49" t="inlineStr">
        <is>
          <t>จำนวนนักเรียนที่ผ่านเกณฑ์ (≥ 25 คะแนน / 50%)</t>
        </is>
      </c>
      <c r="B35" s="50">
        <f>COUNTIF('คะแนนรวม 2 ห้อง (34 คน)'!I7:I24, "&gt;=25")</f>
        <v/>
      </c>
      <c r="C35" s="50">
        <f>COUNTIF('คะแนนรวม 2 ห้อง (34 คน)'!I25:I40, "&gt;=25")</f>
        <v/>
      </c>
      <c r="D35" s="50">
        <f>COUNTIF('คะแนนรวม 2 ห้อง (34 คน)'!I7:I40, "&gt;=25")</f>
        <v/>
      </c>
      <c r="E35" s="50" t="inlineStr">
        <is>
          <t>เกณฑ์ผ่าน 50% ของคะแนนเต็ม 50</t>
        </is>
      </c>
    </row>
    <row r="36">
      <c r="A36" s="49" t="inlineStr">
        <is>
          <t>ร้อยละการผ่านเกณฑ์</t>
        </is>
      </c>
      <c r="B36" s="50">
        <f>ROUND(B35/16*100, 2) &amp; "%"</f>
        <v/>
      </c>
      <c r="C36" s="50">
        <f>ROUND(C35/15*100, 2) &amp; "%"</f>
        <v/>
      </c>
      <c r="D36" s="50">
        <f>ROUND(D35/31*100, 2) &amp; "%"</f>
        <v/>
      </c>
      <c r="E36" s="50" t="inlineStr">
        <is>
          <t>เทียบกับจำนวนผู้เข้าสอบ</t>
        </is>
      </c>
    </row>
    <row r="38">
      <c r="A38" s="47" t="inlineStr">
        <is>
          <t>📈 การกระจายตัวของระดับคะแนนปลายภาครวม (เต็ม 50 คะแนน)</t>
        </is>
      </c>
    </row>
    <row r="39">
      <c r="A39" s="48" t="inlineStr">
        <is>
          <t>ช่วงคะแนน (เต็ม 50)</t>
        </is>
      </c>
      <c r="B39" s="48" t="inlineStr">
        <is>
          <t>ระดับผลการเรียนรู้</t>
        </is>
      </c>
      <c r="C39" s="48" t="inlineStr">
        <is>
          <t>ห้อง 1 (คน)</t>
        </is>
      </c>
      <c r="D39" s="48" t="inlineStr">
        <is>
          <t>ห้อง 2 (คน)</t>
        </is>
      </c>
      <c r="E39" s="48" t="inlineStr">
        <is>
          <t>รวม (คน)</t>
        </is>
      </c>
      <c r="F39" s="48" t="inlineStr">
        <is>
          <t>ร้อยละสะสม</t>
        </is>
      </c>
    </row>
    <row r="40">
      <c r="A40" s="50" t="inlineStr">
        <is>
          <t>40 - 50 คะแนน</t>
        </is>
      </c>
      <c r="B40" s="49" t="inlineStr">
        <is>
          <t>ดีเยี่ยม (Excellent)</t>
        </is>
      </c>
      <c r="C40" s="50">
        <f>COUNTIFS('คะแนนรวม 2 ห้อง (34 คน)'!I7:I24, "&gt;=40", 'คะแนนรวม 2 ห้อง (34 คน)'!I7:I24, "&lt;=50")</f>
        <v/>
      </c>
      <c r="D40" s="50">
        <f>COUNTIFS('คะแนนรวม 2 ห้อง (34 คน)'!I25:I40, "&gt;=40", 'คะแนนรวม 2 ห้อง (34 คน)'!I25:I40, "&lt;=50")</f>
        <v/>
      </c>
      <c r="E40" s="50">
        <f>SUM(C40:D40)</f>
        <v/>
      </c>
      <c r="F40" s="50">
        <f>ROUND(E40/31*100, 1) &amp; "%"</f>
        <v/>
      </c>
    </row>
    <row r="41">
      <c r="A41" s="50" t="inlineStr">
        <is>
          <t>30 - 39 คะแนน</t>
        </is>
      </c>
      <c r="B41" s="49" t="inlineStr">
        <is>
          <t>ดีมาก (Very Good)</t>
        </is>
      </c>
      <c r="C41" s="50">
        <f>COUNTIFS('คะแนนรวม 2 ห้อง (34 คน)'!I7:I24, "&gt;=30", 'คะแนนรวม 2 ห้อง (34 คน)'!I7:I24, "&lt;40")</f>
        <v/>
      </c>
      <c r="D41" s="50">
        <f>COUNTIFS('คะแนนรวม 2 ห้อง (34 คน)'!I25:I40, "&gt;=30", 'คะแนนรวม 2 ห้อง (34 คน)'!I25:I40, "&lt;40")</f>
        <v/>
      </c>
      <c r="E41" s="50">
        <f>SUM(C41:D41)</f>
        <v/>
      </c>
      <c r="F41" s="50">
        <f>ROUND(E41/31*100, 1) &amp; "%"</f>
        <v/>
      </c>
    </row>
    <row r="42">
      <c r="A42" s="50" t="inlineStr">
        <is>
          <t>25 - 29 คะแนน</t>
        </is>
      </c>
      <c r="B42" s="49" t="inlineStr">
        <is>
          <t>ผ่านเกณฑ์ (Fair/Pass)</t>
        </is>
      </c>
      <c r="C42" s="50">
        <f>COUNTIFS('คะแนนรวม 2 ห้อง (34 คน)'!I7:I24, "&gt;=25", 'คะแนนรวม 2 ห้อง (34 คน)'!I7:I24, "&lt;30")</f>
        <v/>
      </c>
      <c r="D42" s="50">
        <f>COUNTIFS('คะแนนรวม 2 ห้อง (34 คน)'!I25:I40, "&gt;=25", 'คะแนนรวม 2 ห้อง (34 คน)'!I25:I40, "&lt;30")</f>
        <v/>
      </c>
      <c r="E42" s="50">
        <f>SUM(C42:D42)</f>
        <v/>
      </c>
      <c r="F42" s="50">
        <f>ROUND(E42/31*100, 1) &amp; "%"</f>
        <v/>
      </c>
    </row>
    <row r="43">
      <c r="A43" s="50" t="inlineStr">
        <is>
          <t>20 - 24 คะแนน</t>
        </is>
      </c>
      <c r="B43" s="49" t="inlineStr">
        <is>
          <t>ควรปรับปรุง (Needs Improvement)</t>
        </is>
      </c>
      <c r="C43" s="50">
        <f>COUNTIFS('คะแนนรวม 2 ห้อง (34 คน)'!I7:I24, "&gt;=20", 'คะแนนรวม 2 ห้อง (34 คน)'!I7:I24, "&lt;25")</f>
        <v/>
      </c>
      <c r="D43" s="50">
        <f>COUNTIFS('คะแนนรวม 2 ห้อง (34 คน)'!I25:I40, "&gt;=20", 'คะแนนรวม 2 ห้อง (34 คน)'!I25:I40, "&lt;25")</f>
        <v/>
      </c>
      <c r="E43" s="50">
        <f>SUM(C43:D43)</f>
        <v/>
      </c>
      <c r="F43" s="50">
        <f>ROUND(E43/31*100, 1) &amp; "%"</f>
        <v/>
      </c>
    </row>
    <row r="44">
      <c r="A44" s="50" t="inlineStr">
        <is>
          <t>0 - 19 คะแนน</t>
        </is>
      </c>
      <c r="B44" s="49" t="inlineStr">
        <is>
          <t>ต้องได้รับการแก้ไข (Unsatisfactory)</t>
        </is>
      </c>
      <c r="C44" s="50">
        <f>COUNTIFS('คะแนนรวม 2 ห้อง (34 คน)'!I7:I24, "&gt;=0", 'คะแนนรวม 2 ห้อง (34 คน)'!I7:I24, "&lt;20")</f>
        <v/>
      </c>
      <c r="D44" s="50">
        <f>COUNTIFS('คะแนนรวม 2 ห้อง (34 คน)'!I25:I40, "&gt;=0", 'คะแนนรวม 2 ห้อง (34 คน)'!I25:I40, "&lt;20")</f>
        <v/>
      </c>
      <c r="E44" s="50">
        <f>SUM(C44:D44)</f>
        <v/>
      </c>
      <c r="F44" s="50">
        <f>ROUND(E44/31*100, 1) &amp; "%"</f>
        <v/>
      </c>
    </row>
    <row r="45">
      <c r="A45" s="51" t="inlineStr">
        <is>
          <t>รวมผู้เข้าสอบทั้งหมด</t>
        </is>
      </c>
      <c r="B45" s="51" t="inlineStr">
        <is>
          <t>-</t>
        </is>
      </c>
      <c r="C45" s="51">
        <f>SUM(C40:C44)</f>
        <v/>
      </c>
      <c r="D45" s="51">
        <f>SUM(D40:D44)</f>
        <v/>
      </c>
      <c r="E45" s="51">
        <f>SUM(E40:E44)</f>
        <v/>
      </c>
      <c r="F45" s="51" t="inlineStr">
        <is>
          <t>100.0%</t>
        </is>
      </c>
    </row>
  </sheetData>
  <mergeCells count="2">
    <mergeCell ref="A38:F38"/>
    <mergeCell ref="A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16" customWidth="1" min="4" max="4"/>
    <col width="11" customWidth="1" min="5" max="5"/>
    <col width="30" customWidth="1" min="6" max="6"/>
    <col width="15" customWidth="1" min="7" max="7"/>
    <col width="15" customWidth="1" min="8" max="8"/>
    <col width="15" customWidth="1" min="9" max="9"/>
    <col width="14" customWidth="1" min="10" max="10"/>
    <col width="12" customWidth="1" min="11" max="11"/>
    <col width="15" customWidth="1" min="12" max="12"/>
    <col width="18" customWidth="1" min="13" max="13"/>
  </cols>
  <sheetData>
    <row r="1">
      <c r="A1" s="1" t="inlineStr">
        <is>
          <t>📋 ตารางสรุปคะแนนสอบปลายภาคเรียน (เรียงตามลำดับรหัส 001 - 035 ครบทั้ง 34 คน)</t>
        </is>
      </c>
    </row>
    <row r="2">
      <c r="A2" s="2" t="inlineStr">
        <is>
          <t>วิชา 21909-1006 พื้นฐานการสร้างเว็บไซต์  |  ระดับชั้น ปวช. 1 ชทค. (ห้อง 1 และ 2)  |  ปีการศึกษา 2569</t>
        </is>
      </c>
    </row>
    <row r="4">
      <c r="A4" s="15" t="inlineStr">
        <is>
          <t>ข้อมูลนักศึกษา</t>
        </is>
      </c>
      <c r="B4" s="52" t="n"/>
      <c r="C4" s="52" t="n"/>
      <c r="D4" s="52" t="n"/>
      <c r="E4" s="52" t="n"/>
      <c r="F4" s="53" t="n"/>
      <c r="G4" s="17" t="inlineStr">
        <is>
          <t>คะแนนสอบปลายภาคเรียน (Final)</t>
        </is>
      </c>
      <c r="H4" s="52" t="n"/>
      <c r="I4" s="53" t="n"/>
      <c r="J4" s="15" t="inlineStr">
        <is>
          <t>ผลการประเมินและสถานะ</t>
        </is>
      </c>
      <c r="K4" s="52" t="n"/>
      <c r="L4" s="52" t="n"/>
      <c r="M4" s="53" t="n"/>
    </row>
    <row r="5">
      <c r="A5" s="4" t="inlineStr">
        <is>
          <t>ลำดับรวม</t>
        </is>
      </c>
      <c r="B5" s="4" t="inlineStr">
        <is>
          <t>ห้อง</t>
        </is>
      </c>
      <c r="C5" s="4" t="inlineStr">
        <is>
          <t>เลขที่</t>
        </is>
      </c>
      <c r="D5" s="4" t="inlineStr">
        <is>
          <t>รหัสนักศึกษา</t>
        </is>
      </c>
      <c r="E5" s="4" t="inlineStr">
        <is>
          <t>รหัส
(3 ตัว)</t>
        </is>
      </c>
      <c r="F5" s="4" t="inlineStr">
        <is>
          <t>ชื่อ - นามสกุล</t>
        </is>
      </c>
      <c r="G5" s="4" t="inlineStr">
        <is>
          <t>ตอนที่ 1 ปรนัย
(เต็ม 30)</t>
        </is>
      </c>
      <c r="H5" s="4" t="inlineStr">
        <is>
          <t>ตอนที่ 2 อัตนัย
(เต็ม 20)</t>
        </is>
      </c>
      <c r="I5" s="4" t="inlineStr">
        <is>
          <t>รวมปลายภาค
(เต็ม 50)</t>
        </is>
      </c>
      <c r="J5" s="4" t="inlineStr">
        <is>
          <t>ร้อยละ
(เต็ม 50)</t>
        </is>
      </c>
      <c r="K5" s="4" t="inlineStr">
        <is>
          <t>ลำดับที่
(Rank)</t>
        </is>
      </c>
      <c r="L5" s="4" t="inlineStr">
        <is>
          <t>สถานะเข้าสอบ</t>
        </is>
      </c>
      <c r="M5" s="4" t="inlineStr">
        <is>
          <t>ไฟล์กระดาษคำตอบ</t>
        </is>
      </c>
    </row>
    <row r="6">
      <c r="A6" s="18" t="n"/>
      <c r="B6" s="18" t="n"/>
      <c r="C6" s="18" t="n"/>
      <c r="D6" s="18" t="n"/>
      <c r="E6" s="18" t="n"/>
      <c r="F6" s="19" t="inlineStr">
        <is>
          <t>คะแนนเต็ม</t>
        </is>
      </c>
      <c r="G6" s="20" t="n">
        <v>30</v>
      </c>
      <c r="H6" s="20" t="n">
        <v>20</v>
      </c>
      <c r="I6" s="20" t="n">
        <v>50</v>
      </c>
      <c r="J6" s="20" t="inlineStr">
        <is>
          <t>100.0%</t>
        </is>
      </c>
      <c r="K6" s="18" t="n"/>
      <c r="L6" s="18" t="n"/>
      <c r="M6" s="18" t="n"/>
    </row>
    <row r="7">
      <c r="A7" s="21" t="n">
        <v>1</v>
      </c>
      <c r="B7" s="21" t="inlineStr">
        <is>
          <t>ห้อง 1</t>
        </is>
      </c>
      <c r="C7" s="21" t="n">
        <v>1</v>
      </c>
      <c r="D7" s="21" t="inlineStr">
        <is>
          <t>69219090001</t>
        </is>
      </c>
      <c r="E7" s="21" t="inlineStr">
        <is>
          <t>001</t>
        </is>
      </c>
      <c r="F7" s="22" t="inlineStr">
        <is>
          <t>นายกฤศมน บุญเปี่ยม</t>
        </is>
      </c>
      <c r="G7" s="23" t="n">
        <v>20</v>
      </c>
      <c r="H7" s="54" t="n">
        <v>4</v>
      </c>
      <c r="I7" s="23">
        <f>IF(COUNT(G7:H7)&gt;0, SUM(G7:H7), "-")</f>
        <v/>
      </c>
      <c r="J7" s="6">
        <f>IF(ISNUMBER(I7), ROUND(I7/$I$6*100, 2) &amp; "%", "-")</f>
        <v/>
      </c>
      <c r="K7" s="6">
        <f>IF(ISNUMBER(I7), RANK(I7, $I$7:$I$40), "-")</f>
        <v/>
      </c>
      <c r="L7" s="24" t="inlineStr">
        <is>
          <t>เข้าสอบ</t>
        </is>
      </c>
      <c r="M7" s="6" t="inlineStr">
        <is>
          <t>S__8118291_0.jpg</t>
        </is>
      </c>
    </row>
    <row r="8">
      <c r="A8" s="21" t="n">
        <v>2</v>
      </c>
      <c r="B8" s="21" t="inlineStr">
        <is>
          <t>ห้อง 1</t>
        </is>
      </c>
      <c r="C8" s="21" t="n">
        <v>2</v>
      </c>
      <c r="D8" s="21" t="inlineStr">
        <is>
          <t>69219090002</t>
        </is>
      </c>
      <c r="E8" s="21" t="inlineStr">
        <is>
          <t>002</t>
        </is>
      </c>
      <c r="F8" s="22" t="inlineStr">
        <is>
          <t>เด็กชายกษธณชล การรักเรียน</t>
        </is>
      </c>
      <c r="G8" s="23" t="n">
        <v>14</v>
      </c>
      <c r="H8" s="54" t="n">
        <v>4</v>
      </c>
      <c r="I8" s="23">
        <f>IF(COUNT(G8:H8)&gt;0, SUM(G8:H8), "-")</f>
        <v/>
      </c>
      <c r="J8" s="6">
        <f>IF(ISNUMBER(I8), ROUND(I8/$I$6*100, 2) &amp; "%", "-")</f>
        <v/>
      </c>
      <c r="K8" s="6">
        <f>IF(ISNUMBER(I8), RANK(I8, $I$7:$I$40), "-")</f>
        <v/>
      </c>
      <c r="L8" s="24" t="inlineStr">
        <is>
          <t>เข้าสอบ</t>
        </is>
      </c>
      <c r="M8" s="6" t="inlineStr">
        <is>
          <t>S__8118284_0.jpg</t>
        </is>
      </c>
    </row>
    <row r="9">
      <c r="A9" s="21" t="n">
        <v>3</v>
      </c>
      <c r="B9" s="21" t="inlineStr">
        <is>
          <t>ห้อง 1</t>
        </is>
      </c>
      <c r="C9" s="21" t="n">
        <v>3</v>
      </c>
      <c r="D9" s="21" t="inlineStr">
        <is>
          <t>69219090003</t>
        </is>
      </c>
      <c r="E9" s="21" t="inlineStr">
        <is>
          <t>003</t>
        </is>
      </c>
      <c r="F9" s="22" t="inlineStr">
        <is>
          <t>นางสาวกัญญ์วรา ทองดี</t>
        </is>
      </c>
      <c r="G9" s="23" t="n">
        <v>26</v>
      </c>
      <c r="H9" s="54" t="n">
        <v>18</v>
      </c>
      <c r="I9" s="23">
        <f>IF(COUNT(G9:H9)&gt;0, SUM(G9:H9), "-")</f>
        <v/>
      </c>
      <c r="J9" s="6">
        <f>IF(ISNUMBER(I9), ROUND(I9/$I$6*100, 2) &amp; "%", "-")</f>
        <v/>
      </c>
      <c r="K9" s="6">
        <f>IF(ISNUMBER(I9), RANK(I9, $I$7:$I$40), "-")</f>
        <v/>
      </c>
      <c r="L9" s="24" t="inlineStr">
        <is>
          <t>เข้าสอบ</t>
        </is>
      </c>
      <c r="M9" s="6" t="inlineStr">
        <is>
          <t>S__8118292_0.jpg</t>
        </is>
      </c>
    </row>
    <row r="10">
      <c r="A10" s="21" t="n">
        <v>4</v>
      </c>
      <c r="B10" s="21" t="inlineStr">
        <is>
          <t>ห้อง 1</t>
        </is>
      </c>
      <c r="C10" s="21" t="n">
        <v>4</v>
      </c>
      <c r="D10" s="21" t="inlineStr">
        <is>
          <t>69219090004</t>
        </is>
      </c>
      <c r="E10" s="21" t="inlineStr">
        <is>
          <t>004</t>
        </is>
      </c>
      <c r="F10" s="22" t="inlineStr">
        <is>
          <t>นายกันธรักษ์ พานทอง</t>
        </is>
      </c>
      <c r="G10" s="23" t="n">
        <v>18</v>
      </c>
      <c r="H10" s="54" t="n">
        <v>5</v>
      </c>
      <c r="I10" s="23">
        <f>IF(COUNT(G10:H10)&gt;0, SUM(G10:H10), "-")</f>
        <v/>
      </c>
      <c r="J10" s="6">
        <f>IF(ISNUMBER(I10), ROUND(I10/$I$6*100, 2) &amp; "%", "-")</f>
        <v/>
      </c>
      <c r="K10" s="6">
        <f>IF(ISNUMBER(I10), RANK(I10, $I$7:$I$40), "-")</f>
        <v/>
      </c>
      <c r="L10" s="24" t="inlineStr">
        <is>
          <t>เข้าสอบ</t>
        </is>
      </c>
      <c r="M10" s="6" t="inlineStr">
        <is>
          <t>S__8118288_0.jpg</t>
        </is>
      </c>
    </row>
    <row r="11">
      <c r="A11" s="21" t="n">
        <v>5</v>
      </c>
      <c r="B11" s="21" t="inlineStr">
        <is>
          <t>ห้อง 1</t>
        </is>
      </c>
      <c r="C11" s="21" t="n">
        <v>5</v>
      </c>
      <c r="D11" s="21" t="inlineStr">
        <is>
          <t>69219090005</t>
        </is>
      </c>
      <c r="E11" s="21" t="inlineStr">
        <is>
          <t>005</t>
        </is>
      </c>
      <c r="F11" s="22" t="inlineStr">
        <is>
          <t>เด็กชายคุณานนต์ พิมพ์จันทร์</t>
        </is>
      </c>
      <c r="G11" s="23" t="n">
        <v>27</v>
      </c>
      <c r="H11" s="54" t="n">
        <v>5</v>
      </c>
      <c r="I11" s="23">
        <f>IF(COUNT(G11:H11)&gt;0, SUM(G11:H11), "-")</f>
        <v/>
      </c>
      <c r="J11" s="6">
        <f>IF(ISNUMBER(I11), ROUND(I11/$I$6*100, 2) &amp; "%", "-")</f>
        <v/>
      </c>
      <c r="K11" s="6">
        <f>IF(ISNUMBER(I11), RANK(I11, $I$7:$I$40), "-")</f>
        <v/>
      </c>
      <c r="L11" s="24" t="inlineStr">
        <is>
          <t>เข้าสอบ</t>
        </is>
      </c>
      <c r="M11" s="6" t="inlineStr">
        <is>
          <t>S__8118286_0.jpg</t>
        </is>
      </c>
    </row>
    <row r="12">
      <c r="A12" s="21" t="n">
        <v>6</v>
      </c>
      <c r="B12" s="21" t="inlineStr">
        <is>
          <t>ห้อง 1</t>
        </is>
      </c>
      <c r="C12" s="21" t="n">
        <v>6</v>
      </c>
      <c r="D12" s="21" t="inlineStr">
        <is>
          <t>69219090006</t>
        </is>
      </c>
      <c r="E12" s="21" t="inlineStr">
        <is>
          <t>006</t>
        </is>
      </c>
      <c r="F12" s="22" t="inlineStr">
        <is>
          <t>เด็กชายเฉลิมวงศ์ มะลิใย</t>
        </is>
      </c>
      <c r="G12" s="23" t="n">
        <v>22</v>
      </c>
      <c r="H12" s="54" t="n">
        <v>4</v>
      </c>
      <c r="I12" s="23">
        <f>IF(COUNT(G12:H12)&gt;0, SUM(G12:H12), "-")</f>
        <v/>
      </c>
      <c r="J12" s="6">
        <f>IF(ISNUMBER(I12), ROUND(I12/$I$6*100, 2) &amp; "%", "-")</f>
        <v/>
      </c>
      <c r="K12" s="6">
        <f>IF(ISNUMBER(I12), RANK(I12, $I$7:$I$40), "-")</f>
        <v/>
      </c>
      <c r="L12" s="24" t="inlineStr">
        <is>
          <t>เข้าสอบ</t>
        </is>
      </c>
      <c r="M12" s="6" t="inlineStr">
        <is>
          <t>S__8118280_0.jpg</t>
        </is>
      </c>
    </row>
    <row r="13">
      <c r="A13" s="21" t="n">
        <v>7</v>
      </c>
      <c r="B13" s="21" t="inlineStr">
        <is>
          <t>ห้อง 1</t>
        </is>
      </c>
      <c r="C13" s="21" t="n">
        <v>7</v>
      </c>
      <c r="D13" s="21" t="inlineStr">
        <is>
          <t>69219090007</t>
        </is>
      </c>
      <c r="E13" s="21" t="inlineStr">
        <is>
          <t>007</t>
        </is>
      </c>
      <c r="F13" s="22" t="inlineStr">
        <is>
          <t>นางสาวชลดา เรือนแก้ว</t>
        </is>
      </c>
      <c r="G13" s="23" t="n">
        <v>15</v>
      </c>
      <c r="H13" s="55" t="n">
        <v>8.5</v>
      </c>
      <c r="I13" s="23">
        <f>IF(COUNT(G13:H13)&gt;0, SUM(G13:H13), "-")</f>
        <v/>
      </c>
      <c r="J13" s="6">
        <f>IF(ISNUMBER(I13), ROUND(I13/$I$6*100, 2) &amp; "%", "-")</f>
        <v/>
      </c>
      <c r="K13" s="6">
        <f>IF(ISNUMBER(I13), RANK(I13, $I$7:$I$40), "-")</f>
        <v/>
      </c>
      <c r="L13" s="24" t="inlineStr">
        <is>
          <t>เข้าสอบ</t>
        </is>
      </c>
      <c r="M13" s="6" t="inlineStr">
        <is>
          <t>S__8118285_0.jpg</t>
        </is>
      </c>
    </row>
    <row r="14">
      <c r="A14" s="25" t="n">
        <v>8</v>
      </c>
      <c r="B14" s="25" t="inlineStr">
        <is>
          <t>ห้อง 1</t>
        </is>
      </c>
      <c r="C14" s="25" t="n">
        <v>8</v>
      </c>
      <c r="D14" s="25" t="inlineStr">
        <is>
          <t>69219090008</t>
        </is>
      </c>
      <c r="E14" s="25" t="inlineStr">
        <is>
          <t>008</t>
        </is>
      </c>
      <c r="F14" s="26" t="inlineStr">
        <is>
          <t>นายณัฐกรณ์ กองทอง</t>
        </is>
      </c>
      <c r="G14" s="27" t="inlineStr">
        <is>
          <t>-</t>
        </is>
      </c>
      <c r="H14" s="56" t="inlineStr">
        <is>
          <t>-</t>
        </is>
      </c>
      <c r="I14" s="28" t="inlineStr">
        <is>
          <t>-</t>
        </is>
      </c>
      <c r="J14" s="9" t="inlineStr">
        <is>
          <t>-</t>
        </is>
      </c>
      <c r="K14" s="9" t="inlineStr">
        <is>
          <t>-</t>
        </is>
      </c>
      <c r="L14" s="29" t="inlineStr">
        <is>
          <t>ขาดสอบ</t>
        </is>
      </c>
      <c r="M14" s="9" t="inlineStr">
        <is>
          <t>-</t>
        </is>
      </c>
    </row>
    <row r="15">
      <c r="A15" s="21" t="n">
        <v>9</v>
      </c>
      <c r="B15" s="21" t="inlineStr">
        <is>
          <t>ห้อง 1</t>
        </is>
      </c>
      <c r="C15" s="21" t="n">
        <v>9</v>
      </c>
      <c r="D15" s="21" t="inlineStr">
        <is>
          <t>69219090009</t>
        </is>
      </c>
      <c r="E15" s="21" t="inlineStr">
        <is>
          <t>009</t>
        </is>
      </c>
      <c r="F15" s="22" t="inlineStr">
        <is>
          <t>นายณัฐพล ทวีทรัพย์</t>
        </is>
      </c>
      <c r="G15" s="23" t="n">
        <v>17</v>
      </c>
      <c r="H15" s="54" t="n">
        <v>4</v>
      </c>
      <c r="I15" s="23">
        <f>IF(COUNT(G15:H15)&gt;0, SUM(G15:H15), "-")</f>
        <v/>
      </c>
      <c r="J15" s="6">
        <f>IF(ISNUMBER(I15), ROUND(I15/$I$6*100, 2) &amp; "%", "-")</f>
        <v/>
      </c>
      <c r="K15" s="6">
        <f>IF(ISNUMBER(I15), RANK(I15, $I$7:$I$40), "-")</f>
        <v/>
      </c>
      <c r="L15" s="24" t="inlineStr">
        <is>
          <t>เข้าสอบ</t>
        </is>
      </c>
      <c r="M15" s="6" t="inlineStr">
        <is>
          <t>S__8118289_0.jpg</t>
        </is>
      </c>
    </row>
    <row r="16">
      <c r="A16" s="21" t="n">
        <v>10</v>
      </c>
      <c r="B16" s="21" t="inlineStr">
        <is>
          <t>ห้อง 1</t>
        </is>
      </c>
      <c r="C16" s="21" t="n">
        <v>10</v>
      </c>
      <c r="D16" s="21" t="inlineStr">
        <is>
          <t>69219090010</t>
        </is>
      </c>
      <c r="E16" s="21" t="inlineStr">
        <is>
          <t>010</t>
        </is>
      </c>
      <c r="F16" s="22" t="inlineStr">
        <is>
          <t>นายต้นตระการ เพชรภู่</t>
        </is>
      </c>
      <c r="G16" s="23" t="n">
        <v>6</v>
      </c>
      <c r="H16" s="54" t="n">
        <v>0</v>
      </c>
      <c r="I16" s="23">
        <f>IF(COUNT(G16:H16)&gt;0, SUM(G16:H16), "-")</f>
        <v/>
      </c>
      <c r="J16" s="6">
        <f>IF(ISNUMBER(I16), ROUND(I16/$I$6*100, 2) &amp; "%", "-")</f>
        <v/>
      </c>
      <c r="K16" s="6">
        <f>IF(ISNUMBER(I16), RANK(I16, $I$7:$I$40), "-")</f>
        <v/>
      </c>
      <c r="L16" s="24" t="inlineStr">
        <is>
          <t>เข้าสอบ</t>
        </is>
      </c>
      <c r="M16" s="6" t="inlineStr">
        <is>
          <t>S__8118281_0.jpg</t>
        </is>
      </c>
    </row>
    <row r="17">
      <c r="A17" s="21" t="n">
        <v>11</v>
      </c>
      <c r="B17" s="21" t="inlineStr">
        <is>
          <t>ห้อง 1</t>
        </is>
      </c>
      <c r="C17" s="21" t="n">
        <v>11</v>
      </c>
      <c r="D17" s="21" t="inlineStr">
        <is>
          <t>69219090011</t>
        </is>
      </c>
      <c r="E17" s="21" t="inlineStr">
        <is>
          <t>011</t>
        </is>
      </c>
      <c r="F17" s="22" t="inlineStr">
        <is>
          <t>นายตฤณ ตาดทอง</t>
        </is>
      </c>
      <c r="G17" s="23" t="n">
        <v>25</v>
      </c>
      <c r="H17" s="54" t="n">
        <v>5</v>
      </c>
      <c r="I17" s="23">
        <f>IF(COUNT(G17:H17)&gt;0, SUM(G17:H17), "-")</f>
        <v/>
      </c>
      <c r="J17" s="6">
        <f>IF(ISNUMBER(I17), ROUND(I17/$I$6*100, 2) &amp; "%", "-")</f>
        <v/>
      </c>
      <c r="K17" s="6">
        <f>IF(ISNUMBER(I17), RANK(I17, $I$7:$I$40), "-")</f>
        <v/>
      </c>
      <c r="L17" s="24" t="inlineStr">
        <is>
          <t>เข้าสอบ</t>
        </is>
      </c>
      <c r="M17" s="6" t="inlineStr">
        <is>
          <t>S__8118278_0.jpg</t>
        </is>
      </c>
    </row>
    <row r="18">
      <c r="A18" s="21" t="n">
        <v>12</v>
      </c>
      <c r="B18" s="21" t="inlineStr">
        <is>
          <t>ห้อง 1</t>
        </is>
      </c>
      <c r="C18" s="21" t="n">
        <v>12</v>
      </c>
      <c r="D18" s="21" t="inlineStr">
        <is>
          <t>69219090012</t>
        </is>
      </c>
      <c r="E18" s="21" t="inlineStr">
        <is>
          <t>012</t>
        </is>
      </c>
      <c r="F18" s="22" t="inlineStr">
        <is>
          <t>นายธนพัฒน์ บุญเรือง</t>
        </is>
      </c>
      <c r="G18" s="23" t="n">
        <v>22</v>
      </c>
      <c r="H18" s="54" t="n">
        <v>12</v>
      </c>
      <c r="I18" s="23">
        <f>IF(COUNT(G18:H18)&gt;0, SUM(G18:H18), "-")</f>
        <v/>
      </c>
      <c r="J18" s="6">
        <f>IF(ISNUMBER(I18), ROUND(I18/$I$6*100, 2) &amp; "%", "-")</f>
        <v/>
      </c>
      <c r="K18" s="6">
        <f>IF(ISNUMBER(I18), RANK(I18, $I$7:$I$40), "-")</f>
        <v/>
      </c>
      <c r="L18" s="24" t="inlineStr">
        <is>
          <t>เข้าสอบ</t>
        </is>
      </c>
      <c r="M18" s="6" t="inlineStr">
        <is>
          <t>S__8118283_0.jpg</t>
        </is>
      </c>
    </row>
    <row r="19">
      <c r="A19" s="21" t="n">
        <v>13</v>
      </c>
      <c r="B19" s="21" t="inlineStr">
        <is>
          <t>ห้อง 1</t>
        </is>
      </c>
      <c r="C19" s="21" t="n">
        <v>13</v>
      </c>
      <c r="D19" s="21" t="inlineStr">
        <is>
          <t>69219090013</t>
        </is>
      </c>
      <c r="E19" s="21" t="inlineStr">
        <is>
          <t>013</t>
        </is>
      </c>
      <c r="F19" s="22" t="inlineStr">
        <is>
          <t>นายธีรภัทร วาสิทธิ์เทพ</t>
        </is>
      </c>
      <c r="G19" s="23" t="n">
        <v>17</v>
      </c>
      <c r="H19" s="54" t="n">
        <v>5</v>
      </c>
      <c r="I19" s="23">
        <f>IF(COUNT(G19:H19)&gt;0, SUM(G19:H19), "-")</f>
        <v/>
      </c>
      <c r="J19" s="6">
        <f>IF(ISNUMBER(I19), ROUND(I19/$I$6*100, 2) &amp; "%", "-")</f>
        <v/>
      </c>
      <c r="K19" s="6">
        <f>IF(ISNUMBER(I19), RANK(I19, $I$7:$I$40), "-")</f>
        <v/>
      </c>
      <c r="L19" s="24" t="inlineStr">
        <is>
          <t>เข้าสอบ</t>
        </is>
      </c>
      <c r="M19" s="6" t="inlineStr">
        <is>
          <t>S__8118282_0.jpg</t>
        </is>
      </c>
    </row>
    <row r="20">
      <c r="A20" s="25" t="n">
        <v>14</v>
      </c>
      <c r="B20" s="25" t="inlineStr">
        <is>
          <t>ห้อง 1</t>
        </is>
      </c>
      <c r="C20" s="25" t="n">
        <v>14</v>
      </c>
      <c r="D20" s="25" t="inlineStr">
        <is>
          <t>69219090014</t>
        </is>
      </c>
      <c r="E20" s="25" t="inlineStr">
        <is>
          <t>014</t>
        </is>
      </c>
      <c r="F20" s="26" t="inlineStr">
        <is>
          <t>นายภูเบต ควันทอง</t>
        </is>
      </c>
      <c r="G20" s="27" t="inlineStr">
        <is>
          <t>-</t>
        </is>
      </c>
      <c r="H20" s="56" t="inlineStr">
        <is>
          <t>-</t>
        </is>
      </c>
      <c r="I20" s="28" t="inlineStr">
        <is>
          <t>-</t>
        </is>
      </c>
      <c r="J20" s="9" t="inlineStr">
        <is>
          <t>-</t>
        </is>
      </c>
      <c r="K20" s="9" t="inlineStr">
        <is>
          <t>-</t>
        </is>
      </c>
      <c r="L20" s="29" t="inlineStr">
        <is>
          <t>ขาดสอบ</t>
        </is>
      </c>
      <c r="M20" s="9" t="inlineStr">
        <is>
          <t>-</t>
        </is>
      </c>
    </row>
    <row r="21">
      <c r="A21" s="21" t="n">
        <v>15</v>
      </c>
      <c r="B21" s="21" t="inlineStr">
        <is>
          <t>ห้อง 1</t>
        </is>
      </c>
      <c r="C21" s="21" t="n">
        <v>15</v>
      </c>
      <c r="D21" s="21" t="inlineStr">
        <is>
          <t>69219090015</t>
        </is>
      </c>
      <c r="E21" s="21" t="inlineStr">
        <is>
          <t>015</t>
        </is>
      </c>
      <c r="F21" s="22" t="inlineStr">
        <is>
          <t>นายภูวพิศิษฐ์ ใหลสกุล</t>
        </is>
      </c>
      <c r="G21" s="23" t="n">
        <v>26</v>
      </c>
      <c r="H21" s="54" t="n">
        <v>19</v>
      </c>
      <c r="I21" s="23">
        <f>IF(COUNT(G21:H21)&gt;0, SUM(G21:H21), "-")</f>
        <v/>
      </c>
      <c r="J21" s="6">
        <f>IF(ISNUMBER(I21), ROUND(I21/$I$6*100, 2) &amp; "%", "-")</f>
        <v/>
      </c>
      <c r="K21" s="6">
        <f>IF(ISNUMBER(I21), RANK(I21, $I$7:$I$40), "-")</f>
        <v/>
      </c>
      <c r="L21" s="24" t="inlineStr">
        <is>
          <t>เข้าสอบ</t>
        </is>
      </c>
      <c r="M21" s="6" t="inlineStr">
        <is>
          <t>S__8118290_0.jpg</t>
        </is>
      </c>
    </row>
    <row r="22">
      <c r="A22" s="21" t="n">
        <v>16</v>
      </c>
      <c r="B22" s="21" t="inlineStr">
        <is>
          <t>ห้อง 1</t>
        </is>
      </c>
      <c r="C22" s="21" t="n">
        <v>16</v>
      </c>
      <c r="D22" s="21" t="inlineStr">
        <is>
          <t>69219090016</t>
        </is>
      </c>
      <c r="E22" s="21" t="inlineStr">
        <is>
          <t>016</t>
        </is>
      </c>
      <c r="F22" s="22" t="inlineStr">
        <is>
          <t>นางสาวมินตา บินอามัด</t>
        </is>
      </c>
      <c r="G22" s="23" t="n">
        <v>10</v>
      </c>
      <c r="H22" s="54" t="n">
        <v>7</v>
      </c>
      <c r="I22" s="23">
        <f>IF(COUNT(G22:H22)&gt;0, SUM(G22:H22), "-")</f>
        <v/>
      </c>
      <c r="J22" s="6">
        <f>IF(ISNUMBER(I22), ROUND(I22/$I$6*100, 2) &amp; "%", "-")</f>
        <v/>
      </c>
      <c r="K22" s="6">
        <f>IF(ISNUMBER(I22), RANK(I22, $I$7:$I$40), "-")</f>
        <v/>
      </c>
      <c r="L22" s="24" t="inlineStr">
        <is>
          <t>เข้าสอบ</t>
        </is>
      </c>
      <c r="M22" s="6" t="inlineStr">
        <is>
          <t>S__8118293_0.jpg</t>
        </is>
      </c>
    </row>
    <row r="23">
      <c r="A23" s="21" t="n">
        <v>17</v>
      </c>
      <c r="B23" s="21" t="inlineStr">
        <is>
          <t>ห้อง 1</t>
        </is>
      </c>
      <c r="C23" s="21" t="n">
        <v>17</v>
      </c>
      <c r="D23" s="21" t="inlineStr">
        <is>
          <t>69219090017</t>
        </is>
      </c>
      <c r="E23" s="21" t="inlineStr">
        <is>
          <t>017</t>
        </is>
      </c>
      <c r="F23" s="22" t="inlineStr">
        <is>
          <t>นายอัรฮัม ยูนุ</t>
        </is>
      </c>
      <c r="G23" s="23" t="n">
        <v>26</v>
      </c>
      <c r="H23" s="54" t="n">
        <v>5</v>
      </c>
      <c r="I23" s="23">
        <f>IF(COUNT(G23:H23)&gt;0, SUM(G23:H23), "-")</f>
        <v/>
      </c>
      <c r="J23" s="6">
        <f>IF(ISNUMBER(I23), ROUND(I23/$I$6*100, 2) &amp; "%", "-")</f>
        <v/>
      </c>
      <c r="K23" s="6">
        <f>IF(ISNUMBER(I23), RANK(I23, $I$7:$I$40), "-")</f>
        <v/>
      </c>
      <c r="L23" s="24" t="inlineStr">
        <is>
          <t>เข้าสอบ</t>
        </is>
      </c>
      <c r="M23" s="6" t="inlineStr">
        <is>
          <t>S__8118279_0.jpg</t>
        </is>
      </c>
    </row>
    <row r="24">
      <c r="A24" s="21" t="n">
        <v>18</v>
      </c>
      <c r="B24" s="21" t="inlineStr">
        <is>
          <t>ห้อง 1</t>
        </is>
      </c>
      <c r="C24" s="21" t="n">
        <v>18</v>
      </c>
      <c r="D24" s="21" t="inlineStr">
        <is>
          <t>69219090018</t>
        </is>
      </c>
      <c r="E24" s="21" t="inlineStr">
        <is>
          <t>018</t>
        </is>
      </c>
      <c r="F24" s="22" t="inlineStr">
        <is>
          <t>นายอานนท์ณัฏฐ์ ไวพจน์</t>
        </is>
      </c>
      <c r="G24" s="23" t="n">
        <v>18</v>
      </c>
      <c r="H24" s="54" t="n">
        <v>8</v>
      </c>
      <c r="I24" s="23">
        <f>IF(COUNT(G24:H24)&gt;0, SUM(G24:H24), "-")</f>
        <v/>
      </c>
      <c r="J24" s="6">
        <f>IF(ISNUMBER(I24), ROUND(I24/$I$6*100, 2) &amp; "%", "-")</f>
        <v/>
      </c>
      <c r="K24" s="6">
        <f>IF(ISNUMBER(I24), RANK(I24, $I$7:$I$40), "-")</f>
        <v/>
      </c>
      <c r="L24" s="24" t="inlineStr">
        <is>
          <t>เข้าสอบ</t>
        </is>
      </c>
      <c r="M24" s="6" t="inlineStr">
        <is>
          <t>S__8118277_0.jpg</t>
        </is>
      </c>
    </row>
    <row r="25">
      <c r="A25" s="21" t="n">
        <v>19</v>
      </c>
      <c r="B25" s="21" t="inlineStr">
        <is>
          <t>ห้อง 2</t>
        </is>
      </c>
      <c r="C25" s="21" t="n">
        <v>1</v>
      </c>
      <c r="D25" s="21" t="inlineStr">
        <is>
          <t>69219090020</t>
        </is>
      </c>
      <c r="E25" s="21" t="inlineStr">
        <is>
          <t>020</t>
        </is>
      </c>
      <c r="F25" s="22" t="inlineStr">
        <is>
          <t>นายชุติวัต สุขมั่น</t>
        </is>
      </c>
      <c r="G25" s="23" t="n">
        <v>15</v>
      </c>
      <c r="H25" s="54" t="n">
        <v>1</v>
      </c>
      <c r="I25" s="23">
        <f>IF(COUNT(G25:H25)&gt;0, SUM(G25:H25), "-")</f>
        <v/>
      </c>
      <c r="J25" s="6">
        <f>IF(ISNUMBER(I25), ROUND(I25/$I$6*100, 2) &amp; "%", "-")</f>
        <v/>
      </c>
      <c r="K25" s="6">
        <f>IF(ISNUMBER(I25), RANK(I25, $I$7:$I$40), "-")</f>
        <v/>
      </c>
      <c r="L25" s="24" t="inlineStr">
        <is>
          <t>เข้าสอบ</t>
        </is>
      </c>
      <c r="M25" s="6" t="inlineStr">
        <is>
          <t>S__8118296_0.jpg</t>
        </is>
      </c>
    </row>
    <row r="26">
      <c r="A26" s="21" t="n">
        <v>20</v>
      </c>
      <c r="B26" s="21" t="inlineStr">
        <is>
          <t>ห้อง 2</t>
        </is>
      </c>
      <c r="C26" s="21" t="n">
        <v>2</v>
      </c>
      <c r="D26" s="21" t="inlineStr">
        <is>
          <t>69219090021</t>
        </is>
      </c>
      <c r="E26" s="21" t="inlineStr">
        <is>
          <t>021</t>
        </is>
      </c>
      <c r="F26" s="22" t="inlineStr">
        <is>
          <t>เด็กชายณัพร รัตนสุวรรณ</t>
        </is>
      </c>
      <c r="G26" s="23" t="n">
        <v>11</v>
      </c>
      <c r="H26" s="54" t="n">
        <v>4</v>
      </c>
      <c r="I26" s="23">
        <f>IF(COUNT(G26:H26)&gt;0, SUM(G26:H26), "-")</f>
        <v/>
      </c>
      <c r="J26" s="6">
        <f>IF(ISNUMBER(I26), ROUND(I26/$I$6*100, 2) &amp; "%", "-")</f>
        <v/>
      </c>
      <c r="K26" s="6">
        <f>IF(ISNUMBER(I26), RANK(I26, $I$7:$I$40), "-")</f>
        <v/>
      </c>
      <c r="L26" s="24" t="inlineStr">
        <is>
          <t>เข้าสอบ</t>
        </is>
      </c>
      <c r="M26" s="6" t="inlineStr">
        <is>
          <t>S__8118300_0.jpg</t>
        </is>
      </c>
    </row>
    <row r="27">
      <c r="A27" s="21" t="n">
        <v>21</v>
      </c>
      <c r="B27" s="21" t="inlineStr">
        <is>
          <t>ห้อง 2</t>
        </is>
      </c>
      <c r="C27" s="21" t="n">
        <v>3</v>
      </c>
      <c r="D27" s="21" t="inlineStr">
        <is>
          <t>69219090022</t>
        </is>
      </c>
      <c r="E27" s="21" t="inlineStr">
        <is>
          <t>022</t>
        </is>
      </c>
      <c r="F27" s="22" t="inlineStr">
        <is>
          <t>นายตุลยวัต ทาสีทอง</t>
        </is>
      </c>
      <c r="G27" s="23" t="n">
        <v>19</v>
      </c>
      <c r="H27" s="54" t="n">
        <v>16</v>
      </c>
      <c r="I27" s="23">
        <f>IF(COUNT(G27:H27)&gt;0, SUM(G27:H27), "-")</f>
        <v/>
      </c>
      <c r="J27" s="6">
        <f>IF(ISNUMBER(I27), ROUND(I27/$I$6*100, 2) &amp; "%", "-")</f>
        <v/>
      </c>
      <c r="K27" s="6">
        <f>IF(ISNUMBER(I27), RANK(I27, $I$7:$I$40), "-")</f>
        <v/>
      </c>
      <c r="L27" s="24" t="inlineStr">
        <is>
          <t>เข้าสอบ</t>
        </is>
      </c>
      <c r="M27" s="6" t="inlineStr">
        <is>
          <t>S__8118304_0.jpg</t>
        </is>
      </c>
    </row>
    <row r="28">
      <c r="A28" s="21" t="n">
        <v>22</v>
      </c>
      <c r="B28" s="21" t="inlineStr">
        <is>
          <t>ห้อง 2</t>
        </is>
      </c>
      <c r="C28" s="21" t="n">
        <v>4</v>
      </c>
      <c r="D28" s="21" t="inlineStr">
        <is>
          <t>69219090023</t>
        </is>
      </c>
      <c r="E28" s="21" t="inlineStr">
        <is>
          <t>023</t>
        </is>
      </c>
      <c r="F28" s="22" t="inlineStr">
        <is>
          <t>เด็กชายธนกฤต แก้วตา</t>
        </is>
      </c>
      <c r="G28" s="23" t="n">
        <v>22</v>
      </c>
      <c r="H28" s="54" t="n">
        <v>8</v>
      </c>
      <c r="I28" s="23">
        <f>IF(COUNT(G28:H28)&gt;0, SUM(G28:H28), "-")</f>
        <v/>
      </c>
      <c r="J28" s="6">
        <f>IF(ISNUMBER(I28), ROUND(I28/$I$6*100, 2) &amp; "%", "-")</f>
        <v/>
      </c>
      <c r="K28" s="6">
        <f>IF(ISNUMBER(I28), RANK(I28, $I$7:$I$40), "-")</f>
        <v/>
      </c>
      <c r="L28" s="24" t="inlineStr">
        <is>
          <t>เข้าสอบ</t>
        </is>
      </c>
      <c r="M28" s="6" t="inlineStr">
        <is>
          <t>S__8118301_0.jpg</t>
        </is>
      </c>
    </row>
    <row r="29">
      <c r="A29" s="21" t="n">
        <v>23</v>
      </c>
      <c r="B29" s="21" t="inlineStr">
        <is>
          <t>ห้อง 2</t>
        </is>
      </c>
      <c r="C29" s="21" t="n">
        <v>5</v>
      </c>
      <c r="D29" s="21" t="inlineStr">
        <is>
          <t>69219090024</t>
        </is>
      </c>
      <c r="E29" s="21" t="inlineStr">
        <is>
          <t>024</t>
        </is>
      </c>
      <c r="F29" s="22" t="inlineStr">
        <is>
          <t>นายธเนศพล กันเมือง</t>
        </is>
      </c>
      <c r="G29" s="23" t="n">
        <v>16</v>
      </c>
      <c r="H29" s="54" t="n">
        <v>7</v>
      </c>
      <c r="I29" s="23">
        <f>IF(COUNT(G29:H29)&gt;0, SUM(G29:H29), "-")</f>
        <v/>
      </c>
      <c r="J29" s="6">
        <f>IF(ISNUMBER(I29), ROUND(I29/$I$6*100, 2) &amp; "%", "-")</f>
        <v/>
      </c>
      <c r="K29" s="6">
        <f>IF(ISNUMBER(I29), RANK(I29, $I$7:$I$40), "-")</f>
        <v/>
      </c>
      <c r="L29" s="24" t="inlineStr">
        <is>
          <t>เข้าสอบ</t>
        </is>
      </c>
      <c r="M29" s="6" t="inlineStr">
        <is>
          <t>S__8118294_0.jpg</t>
        </is>
      </c>
    </row>
    <row r="30">
      <c r="A30" s="25" t="n">
        <v>24</v>
      </c>
      <c r="B30" s="25" t="inlineStr">
        <is>
          <t>ห้อง 2</t>
        </is>
      </c>
      <c r="C30" s="25" t="n">
        <v>6</v>
      </c>
      <c r="D30" s="25" t="inlineStr">
        <is>
          <t>69219090025</t>
        </is>
      </c>
      <c r="E30" s="25" t="inlineStr">
        <is>
          <t>025</t>
        </is>
      </c>
      <c r="F30" s="26" t="inlineStr">
        <is>
          <t>นายนรากร จันทร์กล่ำ</t>
        </is>
      </c>
      <c r="G30" s="27" t="inlineStr">
        <is>
          <t>-</t>
        </is>
      </c>
      <c r="H30" s="56" t="inlineStr">
        <is>
          <t>-</t>
        </is>
      </c>
      <c r="I30" s="28" t="inlineStr">
        <is>
          <t>-</t>
        </is>
      </c>
      <c r="J30" s="9" t="inlineStr">
        <is>
          <t>-</t>
        </is>
      </c>
      <c r="K30" s="9" t="inlineStr">
        <is>
          <t>-</t>
        </is>
      </c>
      <c r="L30" s="29" t="inlineStr">
        <is>
          <t>ขาดสอบ</t>
        </is>
      </c>
      <c r="M30" s="9" t="inlineStr">
        <is>
          <t>-</t>
        </is>
      </c>
    </row>
    <row r="31">
      <c r="A31" s="21" t="n">
        <v>25</v>
      </c>
      <c r="B31" s="21" t="inlineStr">
        <is>
          <t>ห้อง 2</t>
        </is>
      </c>
      <c r="C31" s="21" t="n">
        <v>7</v>
      </c>
      <c r="D31" s="21" t="inlineStr">
        <is>
          <t>69219090026</t>
        </is>
      </c>
      <c r="E31" s="21" t="inlineStr">
        <is>
          <t>026</t>
        </is>
      </c>
      <c r="F31" s="22" t="inlineStr">
        <is>
          <t>นายนราวิชญ์ ทองระคนธ์</t>
        </is>
      </c>
      <c r="G31" s="23" t="n">
        <v>19</v>
      </c>
      <c r="H31" s="54" t="n">
        <v>6</v>
      </c>
      <c r="I31" s="23">
        <f>IF(COUNT(G31:H31)&gt;0, SUM(G31:H31), "-")</f>
        <v/>
      </c>
      <c r="J31" s="6">
        <f>IF(ISNUMBER(I31), ROUND(I31/$I$6*100, 2) &amp; "%", "-")</f>
        <v/>
      </c>
      <c r="K31" s="6">
        <f>IF(ISNUMBER(I31), RANK(I31, $I$7:$I$40), "-")</f>
        <v/>
      </c>
      <c r="L31" s="24" t="inlineStr">
        <is>
          <t>เข้าสอบ</t>
        </is>
      </c>
      <c r="M31" s="6" t="inlineStr">
        <is>
          <t>S__8118297_0.jpg</t>
        </is>
      </c>
    </row>
    <row r="32">
      <c r="A32" s="21" t="n">
        <v>26</v>
      </c>
      <c r="B32" s="21" t="inlineStr">
        <is>
          <t>ห้อง 2</t>
        </is>
      </c>
      <c r="C32" s="21" t="n">
        <v>8</v>
      </c>
      <c r="D32" s="21" t="inlineStr">
        <is>
          <t>69219090027</t>
        </is>
      </c>
      <c r="E32" s="21" t="inlineStr">
        <is>
          <t>027</t>
        </is>
      </c>
      <c r="F32" s="22" t="inlineStr">
        <is>
          <t>นายนันทพงศ์ ช่ออุบล</t>
        </is>
      </c>
      <c r="G32" s="23" t="n">
        <v>8</v>
      </c>
      <c r="H32" s="54" t="n">
        <v>0</v>
      </c>
      <c r="I32" s="23">
        <f>IF(COUNT(G32:H32)&gt;0, SUM(G32:H32), "-")</f>
        <v/>
      </c>
      <c r="J32" s="6">
        <f>IF(ISNUMBER(I32), ROUND(I32/$I$6*100, 2) &amp; "%", "-")</f>
        <v/>
      </c>
      <c r="K32" s="6">
        <f>IF(ISNUMBER(I32), RANK(I32, $I$7:$I$40), "-")</f>
        <v/>
      </c>
      <c r="L32" s="24" t="inlineStr">
        <is>
          <t>เข้าสอบ</t>
        </is>
      </c>
      <c r="M32" s="6" t="inlineStr">
        <is>
          <t>S__8118309.jpg</t>
        </is>
      </c>
    </row>
    <row r="33">
      <c r="A33" s="21" t="n">
        <v>27</v>
      </c>
      <c r="B33" s="21" t="inlineStr">
        <is>
          <t>ห้อง 2</t>
        </is>
      </c>
      <c r="C33" s="21" t="n">
        <v>9</v>
      </c>
      <c r="D33" s="21" t="inlineStr">
        <is>
          <t>69219090028</t>
        </is>
      </c>
      <c r="E33" s="21" t="inlineStr">
        <is>
          <t>028</t>
        </is>
      </c>
      <c r="F33" s="22" t="inlineStr">
        <is>
          <t>เด็กชายพงศ์พัทธ์ โสดา</t>
        </is>
      </c>
      <c r="G33" s="23" t="n">
        <v>22</v>
      </c>
      <c r="H33" s="54" t="n">
        <v>15</v>
      </c>
      <c r="I33" s="23">
        <f>IF(COUNT(G33:H33)&gt;0, SUM(G33:H33), "-")</f>
        <v/>
      </c>
      <c r="J33" s="6">
        <f>IF(ISNUMBER(I33), ROUND(I33/$I$6*100, 2) &amp; "%", "-")</f>
        <v/>
      </c>
      <c r="K33" s="6">
        <f>IF(ISNUMBER(I33), RANK(I33, $I$7:$I$40), "-")</f>
        <v/>
      </c>
      <c r="L33" s="24" t="inlineStr">
        <is>
          <t>เข้าสอบ</t>
        </is>
      </c>
      <c r="M33" s="6" t="inlineStr">
        <is>
          <t>S__8118305_0.jpg</t>
        </is>
      </c>
    </row>
    <row r="34">
      <c r="A34" s="21" t="n">
        <v>28</v>
      </c>
      <c r="B34" s="21" t="inlineStr">
        <is>
          <t>ห้อง 2</t>
        </is>
      </c>
      <c r="C34" s="21" t="n">
        <v>10</v>
      </c>
      <c r="D34" s="21" t="inlineStr">
        <is>
          <t>69219090029</t>
        </is>
      </c>
      <c r="E34" s="21" t="inlineStr">
        <is>
          <t>029</t>
        </is>
      </c>
      <c r="F34" s="22" t="inlineStr">
        <is>
          <t>นายภูธเรศ อินทโชติ</t>
        </is>
      </c>
      <c r="G34" s="23" t="n">
        <v>18</v>
      </c>
      <c r="H34" s="54" t="n">
        <v>13</v>
      </c>
      <c r="I34" s="23">
        <f>IF(COUNT(G34:H34)&gt;0, SUM(G34:H34), "-")</f>
        <v/>
      </c>
      <c r="J34" s="6">
        <f>IF(ISNUMBER(I34), ROUND(I34/$I$6*100, 2) &amp; "%", "-")</f>
        <v/>
      </c>
      <c r="K34" s="6">
        <f>IF(ISNUMBER(I34), RANK(I34, $I$7:$I$40), "-")</f>
        <v/>
      </c>
      <c r="L34" s="24" t="inlineStr">
        <is>
          <t>เข้าสอบ</t>
        </is>
      </c>
      <c r="M34" s="6" t="inlineStr">
        <is>
          <t>S__8118306_0.jpg</t>
        </is>
      </c>
    </row>
    <row r="35">
      <c r="A35" s="21" t="n">
        <v>29</v>
      </c>
      <c r="B35" s="21" t="inlineStr">
        <is>
          <t>ห้อง 2</t>
        </is>
      </c>
      <c r="C35" s="21" t="n">
        <v>11</v>
      </c>
      <c r="D35" s="21" t="inlineStr">
        <is>
          <t>69219090030</t>
        </is>
      </c>
      <c r="E35" s="21" t="inlineStr">
        <is>
          <t>030</t>
        </is>
      </c>
      <c r="F35" s="22" t="inlineStr">
        <is>
          <t>เด็กหญิงวราภรณ์ มั่นคง</t>
        </is>
      </c>
      <c r="G35" s="23" t="n">
        <v>12</v>
      </c>
      <c r="H35" s="54" t="n">
        <v>0</v>
      </c>
      <c r="I35" s="23">
        <f>IF(COUNT(G35:H35)&gt;0, SUM(G35:H35), "-")</f>
        <v/>
      </c>
      <c r="J35" s="6">
        <f>IF(ISNUMBER(I35), ROUND(I35/$I$6*100, 2) &amp; "%", "-")</f>
        <v/>
      </c>
      <c r="K35" s="6">
        <f>IF(ISNUMBER(I35), RANK(I35, $I$7:$I$40), "-")</f>
        <v/>
      </c>
      <c r="L35" s="24" t="inlineStr">
        <is>
          <t>เข้าสอบ</t>
        </is>
      </c>
      <c r="M35" s="6" t="inlineStr">
        <is>
          <t>S__8118307_0.jpg</t>
        </is>
      </c>
    </row>
    <row r="36">
      <c r="A36" s="21" t="n">
        <v>30</v>
      </c>
      <c r="B36" s="21" t="inlineStr">
        <is>
          <t>ห้อง 2</t>
        </is>
      </c>
      <c r="C36" s="21" t="n">
        <v>12</v>
      </c>
      <c r="D36" s="21" t="inlineStr">
        <is>
          <t>69219090031</t>
        </is>
      </c>
      <c r="E36" s="21" t="inlineStr">
        <is>
          <t>031</t>
        </is>
      </c>
      <c r="F36" s="22" t="inlineStr">
        <is>
          <t>นายวีรวัฒน์ วงษ์ทิพย์</t>
        </is>
      </c>
      <c r="G36" s="23" t="n">
        <v>13</v>
      </c>
      <c r="H36" s="54" t="n">
        <v>0</v>
      </c>
      <c r="I36" s="23">
        <f>IF(COUNT(G36:H36)&gt;0, SUM(G36:H36), "-")</f>
        <v/>
      </c>
      <c r="J36" s="6">
        <f>IF(ISNUMBER(I36), ROUND(I36/$I$6*100, 2) &amp; "%", "-")</f>
        <v/>
      </c>
      <c r="K36" s="6">
        <f>IF(ISNUMBER(I36), RANK(I36, $I$7:$I$40), "-")</f>
        <v/>
      </c>
      <c r="L36" s="24" t="inlineStr">
        <is>
          <t>เข้าสอบ</t>
        </is>
      </c>
      <c r="M36" s="6" t="inlineStr">
        <is>
          <t>S__8118295_0.jpg</t>
        </is>
      </c>
    </row>
    <row r="37">
      <c r="A37" s="21" t="n">
        <v>31</v>
      </c>
      <c r="B37" s="21" t="inlineStr">
        <is>
          <t>ห้อง 2</t>
        </is>
      </c>
      <c r="C37" s="21" t="n">
        <v>13</v>
      </c>
      <c r="D37" s="21" t="inlineStr">
        <is>
          <t>69219090032</t>
        </is>
      </c>
      <c r="E37" s="21" t="inlineStr">
        <is>
          <t>032</t>
        </is>
      </c>
      <c r="F37" s="22" t="inlineStr">
        <is>
          <t>นายวุฒิกร พาณิชย์กุลเกียรติ</t>
        </is>
      </c>
      <c r="G37" s="23" t="n">
        <v>12</v>
      </c>
      <c r="H37" s="54" t="n">
        <v>2</v>
      </c>
      <c r="I37" s="23">
        <f>IF(COUNT(G37:H37)&gt;0, SUM(G37:H37), "-")</f>
        <v/>
      </c>
      <c r="J37" s="6">
        <f>IF(ISNUMBER(I37), ROUND(I37/$I$6*100, 2) &amp; "%", "-")</f>
        <v/>
      </c>
      <c r="K37" s="6">
        <f>IF(ISNUMBER(I37), RANK(I37, $I$7:$I$40), "-")</f>
        <v/>
      </c>
      <c r="L37" s="24" t="inlineStr">
        <is>
          <t>เข้าสอบ</t>
        </is>
      </c>
      <c r="M37" s="6" t="inlineStr">
        <is>
          <t>S__8118308_0.jpg</t>
        </is>
      </c>
    </row>
    <row r="38">
      <c r="A38" s="21" t="n">
        <v>32</v>
      </c>
      <c r="B38" s="21" t="inlineStr">
        <is>
          <t>ห้อง 2</t>
        </is>
      </c>
      <c r="C38" s="21" t="n">
        <v>14</v>
      </c>
      <c r="D38" s="21" t="inlineStr">
        <is>
          <t>69219090033</t>
        </is>
      </c>
      <c r="E38" s="21" t="inlineStr">
        <is>
          <t>033</t>
        </is>
      </c>
      <c r="F38" s="22" t="inlineStr">
        <is>
          <t>เด็กหญิงสโรชา มาเส็ง</t>
        </is>
      </c>
      <c r="G38" s="23" t="n">
        <v>11</v>
      </c>
      <c r="H38" s="54" t="n">
        <v>0</v>
      </c>
      <c r="I38" s="23">
        <f>IF(COUNT(G38:H38)&gt;0, SUM(G38:H38), "-")</f>
        <v/>
      </c>
      <c r="J38" s="6">
        <f>IF(ISNUMBER(I38), ROUND(I38/$I$6*100, 2) &amp; "%", "-")</f>
        <v/>
      </c>
      <c r="K38" s="6">
        <f>IF(ISNUMBER(I38), RANK(I38, $I$7:$I$40), "-")</f>
        <v/>
      </c>
      <c r="L38" s="24" t="inlineStr">
        <is>
          <t>เข้าสอบ</t>
        </is>
      </c>
      <c r="M38" s="6" t="inlineStr">
        <is>
          <t>S__8118299_0.jpg</t>
        </is>
      </c>
    </row>
    <row r="39">
      <c r="A39" s="21" t="n">
        <v>33</v>
      </c>
      <c r="B39" s="21" t="inlineStr">
        <is>
          <t>ห้อง 2</t>
        </is>
      </c>
      <c r="C39" s="21" t="n">
        <v>15</v>
      </c>
      <c r="D39" s="21" t="inlineStr">
        <is>
          <t>69219090034</t>
        </is>
      </c>
      <c r="E39" s="21" t="inlineStr">
        <is>
          <t>034</t>
        </is>
      </c>
      <c r="F39" s="22" t="inlineStr">
        <is>
          <t>นายอธิป ทองดอนเถื่อน</t>
        </is>
      </c>
      <c r="G39" s="23" t="n">
        <v>21</v>
      </c>
      <c r="H39" s="54" t="n">
        <v>8</v>
      </c>
      <c r="I39" s="23">
        <f>IF(COUNT(G39:H39)&gt;0, SUM(G39:H39), "-")</f>
        <v/>
      </c>
      <c r="J39" s="6">
        <f>IF(ISNUMBER(I39), ROUND(I39/$I$6*100, 2) &amp; "%", "-")</f>
        <v/>
      </c>
      <c r="K39" s="6">
        <f>IF(ISNUMBER(I39), RANK(I39, $I$7:$I$40), "-")</f>
        <v/>
      </c>
      <c r="L39" s="24" t="inlineStr">
        <is>
          <t>เข้าสอบ</t>
        </is>
      </c>
      <c r="M39" s="6" t="inlineStr">
        <is>
          <t>S__8118302_0.jpg</t>
        </is>
      </c>
    </row>
    <row r="40">
      <c r="A40" s="21" t="n">
        <v>34</v>
      </c>
      <c r="B40" s="21" t="inlineStr">
        <is>
          <t>ห้อง 2</t>
        </is>
      </c>
      <c r="C40" s="21" t="n">
        <v>16</v>
      </c>
      <c r="D40" s="21" t="inlineStr">
        <is>
          <t>69219090035</t>
        </is>
      </c>
      <c r="E40" s="21" t="inlineStr">
        <is>
          <t>035</t>
        </is>
      </c>
      <c r="F40" s="22" t="inlineStr">
        <is>
          <t>เด็กหญิงอารยา จันทน</t>
        </is>
      </c>
      <c r="G40" s="23" t="n">
        <v>19</v>
      </c>
      <c r="H40" s="54" t="n">
        <v>8</v>
      </c>
      <c r="I40" s="23">
        <f>IF(COUNT(G40:H40)&gt;0, SUM(G40:H40), "-")</f>
        <v/>
      </c>
      <c r="J40" s="6">
        <f>IF(ISNUMBER(I40), ROUND(I40/$I$6*100, 2) &amp; "%", "-")</f>
        <v/>
      </c>
      <c r="K40" s="6">
        <f>IF(ISNUMBER(I40), RANK(I40, $I$7:$I$40), "-")</f>
        <v/>
      </c>
      <c r="L40" s="24" t="inlineStr">
        <is>
          <t>เข้าสอบ</t>
        </is>
      </c>
      <c r="M40" s="6" t="inlineStr">
        <is>
          <t>S__8118303_0.jpg</t>
        </is>
      </c>
    </row>
    <row r="41">
      <c r="A41" s="30" t="n"/>
      <c r="B41" s="30" t="n"/>
      <c r="C41" s="30" t="n"/>
      <c r="D41" s="30" t="n"/>
      <c r="E41" s="30" t="n"/>
      <c r="F41" s="31" t="inlineStr">
        <is>
          <t>คะแนนเฉลี่ย (Average)</t>
        </is>
      </c>
      <c r="G41" s="14">
        <f>IFERROR(ROUND(AVERAGE(G7:G40), 2), "-")</f>
        <v/>
      </c>
      <c r="H41" s="14">
        <f>IFERROR(ROUND(AVERAGE(H7:H40), 2), "-")</f>
        <v/>
      </c>
      <c r="I41" s="14">
        <f>IFERROR(ROUND(AVERAGE(I7:I40), 2), "-")</f>
        <v/>
      </c>
      <c r="J41" s="14">
        <f>IFERROR(ROUND(AVERAGE(I7:I40)/50*100, 2) &amp; "%", "-")</f>
        <v/>
      </c>
      <c r="K41" s="30" t="n"/>
      <c r="L41" s="30" t="n"/>
      <c r="M41" s="30" t="n"/>
    </row>
    <row r="42">
      <c r="A42" s="30" t="n"/>
      <c r="B42" s="30" t="n"/>
      <c r="C42" s="30" t="n"/>
      <c r="D42" s="30" t="n"/>
      <c r="E42" s="30" t="n"/>
      <c r="F42" s="31" t="inlineStr">
        <is>
          <t>คะแนนสูงสุด (Max)</t>
        </is>
      </c>
      <c r="G42" s="14">
        <f>IFERROR(MAX(G7:G40), "-")</f>
        <v/>
      </c>
      <c r="H42" s="14">
        <f>IFERROR(MAX(H7:H40), "-")</f>
        <v/>
      </c>
      <c r="I42" s="14">
        <f>IFERROR(MAX(I7:I40), "-")</f>
        <v/>
      </c>
      <c r="J42" s="14">
        <f>IFERROR(ROUND(MAX(I7:I40)/50*100, 2) &amp; "%", "-")</f>
        <v/>
      </c>
      <c r="K42" s="30" t="n"/>
      <c r="L42" s="30" t="n"/>
      <c r="M42" s="30" t="n"/>
    </row>
    <row r="43">
      <c r="A43" s="30" t="n"/>
      <c r="B43" s="30" t="n"/>
      <c r="C43" s="30" t="n"/>
      <c r="D43" s="30" t="n"/>
      <c r="E43" s="30" t="n"/>
      <c r="F43" s="31" t="inlineStr">
        <is>
          <t>คะแนนต่ำสุด (Min)</t>
        </is>
      </c>
      <c r="G43" s="14">
        <f>IFERROR(MIN(G7:G40), "-")</f>
        <v/>
      </c>
      <c r="H43" s="14">
        <f>IFERROR(MIN(H7:H40), "-")</f>
        <v/>
      </c>
      <c r="I43" s="14">
        <f>IFERROR(MIN(I7:I40), "-")</f>
        <v/>
      </c>
      <c r="J43" s="14">
        <f>IFERROR(ROUND(MIN(I7:I40)/50*100, 2) &amp; "%", "-")</f>
        <v/>
      </c>
      <c r="K43" s="30" t="n"/>
      <c r="L43" s="30" t="n"/>
      <c r="M43" s="30" t="n"/>
    </row>
    <row r="44">
      <c r="A44" s="30" t="n"/>
      <c r="B44" s="30" t="n"/>
      <c r="C44" s="30" t="n"/>
      <c r="D44" s="30" t="n"/>
      <c r="E44" s="30" t="n"/>
      <c r="F44" s="31" t="inlineStr">
        <is>
          <t>ส่วนเบี่ยงเบนมาตรฐาน (S.D.)</t>
        </is>
      </c>
      <c r="G44" s="14">
        <f>IFERROR(ROUND(STDEV.P(G7:G40), 2), "-")</f>
        <v/>
      </c>
      <c r="H44" s="14">
        <f>IFERROR(ROUND(STDEV.P(H7:H40), 2), "-")</f>
        <v/>
      </c>
      <c r="I44" s="14">
        <f>IFERROR(ROUND(STDEV.P(I7:I40), 2), "-")</f>
        <v/>
      </c>
      <c r="J44" s="14" t="inlineStr">
        <is>
          <t>-</t>
        </is>
      </c>
      <c r="K44" s="30" t="n"/>
      <c r="L44" s="30" t="n"/>
      <c r="M44" s="30" t="n"/>
    </row>
  </sheetData>
  <mergeCells count="3">
    <mergeCell ref="J4:M4"/>
    <mergeCell ref="G4:I4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8" customWidth="1" min="4" max="4"/>
    <col width="2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1" customWidth="1" min="15" max="15"/>
    <col width="15" customWidth="1" min="16" max="16"/>
    <col width="11" customWidth="1" min="17" max="17"/>
    <col width="11" customWidth="1" min="18" max="18"/>
  </cols>
  <sheetData>
    <row r="1">
      <c r="A1" s="57" t="inlineStr">
        <is>
          <t>📝 แบบบันทึกคะแนนเก็บแบบฝึกหัดและชิ้นงาน (เรียงลำดับตามหลักสูตร) - รวมทั้ง 2 ห้อง (34 คน)</t>
        </is>
      </c>
    </row>
    <row r="2">
      <c r="A2" s="58" t="inlineStr">
        <is>
          <t>วิชา 21909-1006 พื้นฐานการสร้างเว็บไซต์  |  แบบฝึกหัดที่ 1 - 8 + โปรเจค Figma + งานกลุ่ม  |  เต็ม 100 คะแนน</t>
        </is>
      </c>
    </row>
    <row r="4" ht="36" customHeight="1">
      <c r="A4" s="59" t="inlineStr">
        <is>
          <t>ลำดับรวม</t>
        </is>
      </c>
      <c r="B4" s="59" t="inlineStr">
        <is>
          <t>ห้อง</t>
        </is>
      </c>
      <c r="C4" s="59" t="inlineStr">
        <is>
          <t>เลขที่</t>
        </is>
      </c>
      <c r="D4" s="59" t="inlineStr">
        <is>
          <t>รหัส</t>
        </is>
      </c>
      <c r="E4" s="59" t="inlineStr">
        <is>
          <t>ชื่อ - นามสกุล</t>
        </is>
      </c>
      <c r="F4" s="59" t="inlineStr">
        <is>
          <t>แบบฝึกหัดที่ 1
แนะนำตัวเอง (10)</t>
        </is>
      </c>
      <c r="G4" s="59" t="inlineStr">
        <is>
          <t>แบบฝึกหัดที่ 2
ใบงาน (10)</t>
        </is>
      </c>
      <c r="H4" s="59" t="inlineStr">
        <is>
          <t>แบบฝึกหัดที่ 3
CSS 3 รูปแบบ (10)</t>
        </is>
      </c>
      <c r="I4" s="59" t="inlineStr">
        <is>
          <t>แบบฝึกหัดที่ 4
colspan+rowspan (10)</t>
        </is>
      </c>
      <c r="J4" s="59" t="inlineStr">
        <is>
          <t>แบบฝึกหัดที่ 5
Form/Boxmodel (10)</t>
        </is>
      </c>
      <c r="K4" s="59" t="inlineStr">
        <is>
          <t>แบบฝึกหัดที่ 6
Boxmodel/Form (10)</t>
        </is>
      </c>
      <c r="L4" s="59" t="inlineStr">
        <is>
          <t>แบบฝึกหัดที่ 7
Flexbox Layout (10)</t>
        </is>
      </c>
      <c r="M4" s="59" t="inlineStr">
        <is>
          <t>แบบฝึกหัดที่ 8
Grid Layout (10)</t>
        </is>
      </c>
      <c r="N4" s="59" t="inlineStr">
        <is>
          <t>โปรเจคเว็บ
Figma (10)</t>
        </is>
      </c>
      <c r="O4" s="59" t="inlineStr">
        <is>
          <t>งานกลุ่ม
(10)</t>
        </is>
      </c>
      <c r="P4" s="59" t="inlineStr">
        <is>
          <t>รวมคะแนนเก็บ
(เต็ม 100)</t>
        </is>
      </c>
      <c r="Q4" s="59" t="inlineStr">
        <is>
          <t>ร้อยละ
(%)</t>
        </is>
      </c>
      <c r="R4" s="59" t="inlineStr">
        <is>
          <t>ลำดับที่
(Rank)</t>
        </is>
      </c>
    </row>
    <row r="5" ht="24" customHeight="1">
      <c r="A5" s="60" t="n"/>
      <c r="B5" s="60" t="n"/>
      <c r="C5" s="60" t="n"/>
      <c r="D5" s="60" t="n"/>
      <c r="E5" s="61" t="inlineStr">
        <is>
          <t>คะแนนเต็ม</t>
        </is>
      </c>
      <c r="F5" s="60" t="n">
        <v>10</v>
      </c>
      <c r="G5" s="60" t="n">
        <v>10</v>
      </c>
      <c r="H5" s="60" t="n">
        <v>10</v>
      </c>
      <c r="I5" s="60" t="n">
        <v>10</v>
      </c>
      <c r="J5" s="60" t="n">
        <v>10</v>
      </c>
      <c r="K5" s="60" t="n">
        <v>10</v>
      </c>
      <c r="L5" s="60" t="n">
        <v>10</v>
      </c>
      <c r="M5" s="60" t="n">
        <v>10</v>
      </c>
      <c r="N5" s="60" t="n">
        <v>10</v>
      </c>
      <c r="O5" s="60" t="n">
        <v>10</v>
      </c>
      <c r="P5" s="60" t="n">
        <v>100</v>
      </c>
      <c r="Q5" s="60" t="inlineStr">
        <is>
          <t>100.0%</t>
        </is>
      </c>
      <c r="R5" s="60" t="inlineStr">
        <is>
          <t>-</t>
        </is>
      </c>
    </row>
    <row r="6" ht="22" customHeight="1">
      <c r="A6" s="62" t="n">
        <v>1</v>
      </c>
      <c r="B6" s="62" t="inlineStr">
        <is>
          <t>ห้อง 1</t>
        </is>
      </c>
      <c r="C6" s="62" t="n">
        <v>1</v>
      </c>
      <c r="D6" s="62" t="inlineStr">
        <is>
          <t>001</t>
        </is>
      </c>
      <c r="E6" s="63" t="inlineStr">
        <is>
          <t>นายกฤศมน บุญเปี่ยม</t>
        </is>
      </c>
      <c r="F6" s="64" t="n">
        <v>7</v>
      </c>
      <c r="G6" s="64" t="n">
        <v>9</v>
      </c>
      <c r="H6" s="62" t="n"/>
      <c r="I6" s="64" t="n">
        <v>10</v>
      </c>
      <c r="J6" s="62" t="n"/>
      <c r="K6" s="64" t="n">
        <v>10</v>
      </c>
      <c r="L6" s="64" t="n">
        <v>10</v>
      </c>
      <c r="M6" s="64" t="n">
        <v>10</v>
      </c>
      <c r="N6" s="64" t="n">
        <v>10</v>
      </c>
      <c r="O6" s="62" t="n"/>
      <c r="P6" s="60">
        <f>IF(COUNT(F6:O6)&gt;0, SUM(F6:O6), "-")</f>
        <v/>
      </c>
      <c r="Q6" s="62">
        <f>IF(ISNUMBER(P6), ROUND(P6/$P$5*100, 1) &amp; "%", "-")</f>
        <v/>
      </c>
      <c r="R6" s="65">
        <f>IF(ISNUMBER(P6), RANK(P6, $P$6:$P$39), "-")</f>
        <v/>
      </c>
    </row>
    <row r="7" ht="22" customHeight="1">
      <c r="A7" s="66" t="n">
        <v>2</v>
      </c>
      <c r="B7" s="66" t="inlineStr">
        <is>
          <t>ห้อง 1</t>
        </is>
      </c>
      <c r="C7" s="66" t="n">
        <v>2</v>
      </c>
      <c r="D7" s="66" t="inlineStr">
        <is>
          <t>002</t>
        </is>
      </c>
      <c r="E7" s="67" t="inlineStr">
        <is>
          <t>เด็กชายกษธณชล การรักเรียน</t>
        </is>
      </c>
      <c r="F7" s="68" t="n">
        <v>8</v>
      </c>
      <c r="G7" s="68" t="n">
        <v>10</v>
      </c>
      <c r="H7" s="66" t="n"/>
      <c r="I7" s="68" t="n">
        <v>10</v>
      </c>
      <c r="J7" s="66" t="n"/>
      <c r="K7" s="68" t="n">
        <v>10</v>
      </c>
      <c r="L7" s="66" t="n"/>
      <c r="M7" s="68" t="n">
        <v>10</v>
      </c>
      <c r="N7" s="68" t="n">
        <v>10</v>
      </c>
      <c r="O7" s="66" t="n"/>
      <c r="P7" s="60">
        <f>IF(COUNT(F7:O7)&gt;0, SUM(F7:O7), "-")</f>
        <v/>
      </c>
      <c r="Q7" s="66">
        <f>IF(ISNUMBER(P7), ROUND(P7/$P$5*100, 1) &amp; "%", "-")</f>
        <v/>
      </c>
      <c r="R7" s="69">
        <f>IF(ISNUMBER(P7), RANK(P7, $P$6:$P$39), "-")</f>
        <v/>
      </c>
    </row>
    <row r="8" ht="22" customHeight="1">
      <c r="A8" s="62" t="n">
        <v>3</v>
      </c>
      <c r="B8" s="62" t="inlineStr">
        <is>
          <t>ห้อง 1</t>
        </is>
      </c>
      <c r="C8" s="62" t="n">
        <v>3</v>
      </c>
      <c r="D8" s="62" t="inlineStr">
        <is>
          <t>003</t>
        </is>
      </c>
      <c r="E8" s="63" t="inlineStr">
        <is>
          <t>นางสาวกัญญ์วรา ทองดี</t>
        </is>
      </c>
      <c r="F8" s="64" t="n">
        <v>8</v>
      </c>
      <c r="G8" s="64" t="n">
        <v>9</v>
      </c>
      <c r="H8" s="64" t="n">
        <v>10</v>
      </c>
      <c r="I8" s="64" t="n">
        <v>10</v>
      </c>
      <c r="J8" s="64" t="n">
        <v>10</v>
      </c>
      <c r="K8" s="64" t="n">
        <v>10</v>
      </c>
      <c r="L8" s="64" t="n">
        <v>10</v>
      </c>
      <c r="M8" s="64" t="n">
        <v>10</v>
      </c>
      <c r="N8" s="64" t="n">
        <v>10</v>
      </c>
      <c r="O8" s="62" t="n"/>
      <c r="P8" s="60">
        <f>IF(COUNT(F8:O8)&gt;0, SUM(F8:O8), "-")</f>
        <v/>
      </c>
      <c r="Q8" s="62">
        <f>IF(ISNUMBER(P8), ROUND(P8/$P$5*100, 1) &amp; "%", "-")</f>
        <v/>
      </c>
      <c r="R8" s="65">
        <f>IF(ISNUMBER(P8), RANK(P8, $P$6:$P$39), "-")</f>
        <v/>
      </c>
    </row>
    <row r="9" ht="22" customHeight="1">
      <c r="A9" s="66" t="n">
        <v>4</v>
      </c>
      <c r="B9" s="66" t="inlineStr">
        <is>
          <t>ห้อง 1</t>
        </is>
      </c>
      <c r="C9" s="66" t="n">
        <v>4</v>
      </c>
      <c r="D9" s="66" t="inlineStr">
        <is>
          <t>004</t>
        </is>
      </c>
      <c r="E9" s="67" t="inlineStr">
        <is>
          <t>นายกันธรักษ์ พานทอง</t>
        </is>
      </c>
      <c r="F9" s="68" t="n">
        <v>7</v>
      </c>
      <c r="G9" s="68" t="n">
        <v>10</v>
      </c>
      <c r="H9" s="68" t="n">
        <v>10</v>
      </c>
      <c r="I9" s="68" t="n">
        <v>10</v>
      </c>
      <c r="J9" s="68" t="n">
        <v>10</v>
      </c>
      <c r="K9" s="68" t="n">
        <v>10</v>
      </c>
      <c r="L9" s="68" t="n">
        <v>10</v>
      </c>
      <c r="M9" s="68" t="n">
        <v>10</v>
      </c>
      <c r="N9" s="68" t="n">
        <v>10</v>
      </c>
      <c r="O9" s="66" t="n"/>
      <c r="P9" s="60">
        <f>IF(COUNT(F9:O9)&gt;0, SUM(F9:O9), "-")</f>
        <v/>
      </c>
      <c r="Q9" s="66">
        <f>IF(ISNUMBER(P9), ROUND(P9/$P$5*100, 1) &amp; "%", "-")</f>
        <v/>
      </c>
      <c r="R9" s="69">
        <f>IF(ISNUMBER(P9), RANK(P9, $P$6:$P$39), "-")</f>
        <v/>
      </c>
    </row>
    <row r="10" ht="22" customHeight="1">
      <c r="A10" s="62" t="n">
        <v>5</v>
      </c>
      <c r="B10" s="62" t="inlineStr">
        <is>
          <t>ห้อง 1</t>
        </is>
      </c>
      <c r="C10" s="62" t="n">
        <v>5</v>
      </c>
      <c r="D10" s="62" t="inlineStr">
        <is>
          <t>005</t>
        </is>
      </c>
      <c r="E10" s="63" t="inlineStr">
        <is>
          <t>เด็กชายคุณานนต์ พิมพ์จันทร์</t>
        </is>
      </c>
      <c r="F10" s="64" t="n">
        <v>7</v>
      </c>
      <c r="G10" s="64" t="n">
        <v>10</v>
      </c>
      <c r="H10" s="64" t="n">
        <v>10</v>
      </c>
      <c r="I10" s="64" t="n">
        <v>10</v>
      </c>
      <c r="J10" s="64" t="n">
        <v>10</v>
      </c>
      <c r="K10" s="64" t="n">
        <v>10</v>
      </c>
      <c r="L10" s="62" t="n"/>
      <c r="M10" s="64" t="n">
        <v>10</v>
      </c>
      <c r="N10" s="64" t="n">
        <v>10</v>
      </c>
      <c r="O10" s="62" t="n"/>
      <c r="P10" s="60">
        <f>IF(COUNT(F10:O10)&gt;0, SUM(F10:O10), "-")</f>
        <v/>
      </c>
      <c r="Q10" s="62">
        <f>IF(ISNUMBER(P10), ROUND(P10/$P$5*100, 1) &amp; "%", "-")</f>
        <v/>
      </c>
      <c r="R10" s="65">
        <f>IF(ISNUMBER(P10), RANK(P10, $P$6:$P$39), "-")</f>
        <v/>
      </c>
    </row>
    <row r="11" ht="22" customHeight="1">
      <c r="A11" s="66" t="n">
        <v>6</v>
      </c>
      <c r="B11" s="66" t="inlineStr">
        <is>
          <t>ห้อง 1</t>
        </is>
      </c>
      <c r="C11" s="66" t="n">
        <v>6</v>
      </c>
      <c r="D11" s="66" t="inlineStr">
        <is>
          <t>006</t>
        </is>
      </c>
      <c r="E11" s="67" t="inlineStr">
        <is>
          <t>เด็กชายเฉลิมวงศ์ มะลิใย</t>
        </is>
      </c>
      <c r="F11" s="68" t="n">
        <v>9</v>
      </c>
      <c r="G11" s="68" t="n">
        <v>9</v>
      </c>
      <c r="H11" s="66" t="n"/>
      <c r="I11" s="68" t="n">
        <v>10</v>
      </c>
      <c r="J11" s="68" t="n">
        <v>10</v>
      </c>
      <c r="K11" s="68" t="n">
        <v>10</v>
      </c>
      <c r="L11" s="68" t="n">
        <v>10</v>
      </c>
      <c r="M11" s="66" t="n"/>
      <c r="N11" s="68" t="n">
        <v>10</v>
      </c>
      <c r="O11" s="66" t="n"/>
      <c r="P11" s="60">
        <f>IF(COUNT(F11:O11)&gt;0, SUM(F11:O11), "-")</f>
        <v/>
      </c>
      <c r="Q11" s="66">
        <f>IF(ISNUMBER(P11), ROUND(P11/$P$5*100, 1) &amp; "%", "-")</f>
        <v/>
      </c>
      <c r="R11" s="69">
        <f>IF(ISNUMBER(P11), RANK(P11, $P$6:$P$39), "-")</f>
        <v/>
      </c>
    </row>
    <row r="12" ht="22" customHeight="1">
      <c r="A12" s="62" t="n">
        <v>7</v>
      </c>
      <c r="B12" s="62" t="inlineStr">
        <is>
          <t>ห้อง 1</t>
        </is>
      </c>
      <c r="C12" s="62" t="n">
        <v>7</v>
      </c>
      <c r="D12" s="62" t="inlineStr">
        <is>
          <t>007</t>
        </is>
      </c>
      <c r="E12" s="63" t="inlineStr">
        <is>
          <t>นางสาวชลดา เรือนแก้ว</t>
        </is>
      </c>
      <c r="F12" s="64" t="n">
        <v>6</v>
      </c>
      <c r="G12" s="64" t="n">
        <v>9</v>
      </c>
      <c r="H12" s="62" t="n"/>
      <c r="I12" s="64" t="n">
        <v>10</v>
      </c>
      <c r="J12" s="62" t="n"/>
      <c r="K12" s="62" t="n"/>
      <c r="L12" s="64" t="n">
        <v>10</v>
      </c>
      <c r="M12" s="62" t="n"/>
      <c r="N12" s="62" t="n"/>
      <c r="O12" s="62" t="n"/>
      <c r="P12" s="60">
        <f>IF(COUNT(F12:O12)&gt;0, SUM(F12:O12), "-")</f>
        <v/>
      </c>
      <c r="Q12" s="62">
        <f>IF(ISNUMBER(P12), ROUND(P12/$P$5*100, 1) &amp; "%", "-")</f>
        <v/>
      </c>
      <c r="R12" s="65">
        <f>IF(ISNUMBER(P12), RANK(P12, $P$6:$P$39), "-")</f>
        <v/>
      </c>
    </row>
    <row r="13" ht="22" customHeight="1">
      <c r="A13" s="66" t="n">
        <v>8</v>
      </c>
      <c r="B13" s="66" t="inlineStr">
        <is>
          <t>ห้อง 1</t>
        </is>
      </c>
      <c r="C13" s="66" t="n">
        <v>8</v>
      </c>
      <c r="D13" s="66" t="inlineStr">
        <is>
          <t>008</t>
        </is>
      </c>
      <c r="E13" s="67" t="inlineStr">
        <is>
          <t>นายณัฐกรณ์ กองทอง</t>
        </is>
      </c>
      <c r="F13" s="68" t="n">
        <v>5</v>
      </c>
      <c r="G13" s="68" t="n">
        <v>8</v>
      </c>
      <c r="H13" s="68" t="n">
        <v>10</v>
      </c>
      <c r="I13" s="68" t="n">
        <v>10</v>
      </c>
      <c r="J13" s="68" t="n">
        <v>10</v>
      </c>
      <c r="K13" s="66" t="n"/>
      <c r="L13" s="66" t="n"/>
      <c r="M13" s="66" t="n"/>
      <c r="N13" s="66" t="n"/>
      <c r="O13" s="66" t="n"/>
      <c r="P13" s="60">
        <f>IF(COUNT(F13:O13)&gt;0, SUM(F13:O13), "-")</f>
        <v/>
      </c>
      <c r="Q13" s="66">
        <f>IF(ISNUMBER(P13), ROUND(P13/$P$5*100, 1) &amp; "%", "-")</f>
        <v/>
      </c>
      <c r="R13" s="69">
        <f>IF(ISNUMBER(P13), RANK(P13, $P$6:$P$39), "-")</f>
        <v/>
      </c>
    </row>
    <row r="14" ht="22" customHeight="1">
      <c r="A14" s="62" t="n">
        <v>9</v>
      </c>
      <c r="B14" s="62" t="inlineStr">
        <is>
          <t>ห้อง 1</t>
        </is>
      </c>
      <c r="C14" s="62" t="n">
        <v>9</v>
      </c>
      <c r="D14" s="62" t="inlineStr">
        <is>
          <t>009</t>
        </is>
      </c>
      <c r="E14" s="63" t="inlineStr">
        <is>
          <t>นายณัฐพล ทวีทรัพย์</t>
        </is>
      </c>
      <c r="F14" s="64" t="n">
        <v>7</v>
      </c>
      <c r="G14" s="64" t="n">
        <v>9</v>
      </c>
      <c r="H14" s="64" t="n">
        <v>10</v>
      </c>
      <c r="I14" s="64" t="n">
        <v>10</v>
      </c>
      <c r="J14" s="64" t="n">
        <v>10</v>
      </c>
      <c r="K14" s="64" t="n">
        <v>10</v>
      </c>
      <c r="L14" s="64" t="n">
        <v>10</v>
      </c>
      <c r="M14" s="62" t="n"/>
      <c r="N14" s="64" t="n">
        <v>10</v>
      </c>
      <c r="O14" s="62" t="n"/>
      <c r="P14" s="60">
        <f>IF(COUNT(F14:O14)&gt;0, SUM(F14:O14), "-")</f>
        <v/>
      </c>
      <c r="Q14" s="62">
        <f>IF(ISNUMBER(P14), ROUND(P14/$P$5*100, 1) &amp; "%", "-")</f>
        <v/>
      </c>
      <c r="R14" s="65">
        <f>IF(ISNUMBER(P14), RANK(P14, $P$6:$P$39), "-")</f>
        <v/>
      </c>
    </row>
    <row r="15" ht="22" customHeight="1">
      <c r="A15" s="66" t="n">
        <v>10</v>
      </c>
      <c r="B15" s="66" t="inlineStr">
        <is>
          <t>ห้อง 1</t>
        </is>
      </c>
      <c r="C15" s="66" t="n">
        <v>10</v>
      </c>
      <c r="D15" s="66" t="inlineStr">
        <is>
          <t>010</t>
        </is>
      </c>
      <c r="E15" s="67" t="inlineStr">
        <is>
          <t>นายต้นตระการ เพชรภู่</t>
        </is>
      </c>
      <c r="F15" s="68" t="n">
        <v>8</v>
      </c>
      <c r="G15" s="68" t="n">
        <v>7</v>
      </c>
      <c r="H15" s="68" t="n">
        <v>10</v>
      </c>
      <c r="I15" s="66" t="n"/>
      <c r="J15" s="66" t="n"/>
      <c r="K15" s="68" t="n">
        <v>10</v>
      </c>
      <c r="L15" s="66" t="n"/>
      <c r="M15" s="68" t="n">
        <v>10</v>
      </c>
      <c r="N15" s="68" t="n">
        <v>10</v>
      </c>
      <c r="O15" s="66" t="n"/>
      <c r="P15" s="60">
        <f>IF(COUNT(F15:O15)&gt;0, SUM(F15:O15), "-")</f>
        <v/>
      </c>
      <c r="Q15" s="66">
        <f>IF(ISNUMBER(P15), ROUND(P15/$P$5*100, 1) &amp; "%", "-")</f>
        <v/>
      </c>
      <c r="R15" s="69">
        <f>IF(ISNUMBER(P15), RANK(P15, $P$6:$P$39), "-")</f>
        <v/>
      </c>
    </row>
    <row r="16" ht="22" customHeight="1">
      <c r="A16" s="62" t="n">
        <v>11</v>
      </c>
      <c r="B16" s="62" t="inlineStr">
        <is>
          <t>ห้อง 1</t>
        </is>
      </c>
      <c r="C16" s="62" t="n">
        <v>11</v>
      </c>
      <c r="D16" s="62" t="inlineStr">
        <is>
          <t>011</t>
        </is>
      </c>
      <c r="E16" s="63" t="inlineStr">
        <is>
          <t>นายตฤณ ตาดทอง</t>
        </is>
      </c>
      <c r="F16" s="64" t="n">
        <v>9</v>
      </c>
      <c r="G16" s="64" t="n">
        <v>9</v>
      </c>
      <c r="H16" s="64" t="n">
        <v>10</v>
      </c>
      <c r="I16" s="64" t="n">
        <v>10</v>
      </c>
      <c r="J16" s="64" t="n">
        <v>10</v>
      </c>
      <c r="K16" s="64" t="n">
        <v>10</v>
      </c>
      <c r="L16" s="64" t="n">
        <v>10</v>
      </c>
      <c r="M16" s="64" t="n">
        <v>10</v>
      </c>
      <c r="N16" s="64" t="n">
        <v>10</v>
      </c>
      <c r="O16" s="62" t="n"/>
      <c r="P16" s="60">
        <f>IF(COUNT(F16:O16)&gt;0, SUM(F16:O16), "-")</f>
        <v/>
      </c>
      <c r="Q16" s="62">
        <f>IF(ISNUMBER(P16), ROUND(P16/$P$5*100, 1) &amp; "%", "-")</f>
        <v/>
      </c>
      <c r="R16" s="65">
        <f>IF(ISNUMBER(P16), RANK(P16, $P$6:$P$39), "-")</f>
        <v/>
      </c>
    </row>
    <row r="17" ht="22" customHeight="1">
      <c r="A17" s="66" t="n">
        <v>12</v>
      </c>
      <c r="B17" s="66" t="inlineStr">
        <is>
          <t>ห้อง 1</t>
        </is>
      </c>
      <c r="C17" s="66" t="n">
        <v>12</v>
      </c>
      <c r="D17" s="66" t="inlineStr">
        <is>
          <t>012</t>
        </is>
      </c>
      <c r="E17" s="67" t="inlineStr">
        <is>
          <t>นายธนพัฒน์ บุญเรือง</t>
        </is>
      </c>
      <c r="F17" s="68" t="n">
        <v>8</v>
      </c>
      <c r="G17" s="68" t="n">
        <v>9</v>
      </c>
      <c r="H17" s="68" t="n">
        <v>10</v>
      </c>
      <c r="I17" s="68" t="n">
        <v>10</v>
      </c>
      <c r="J17" s="68" t="n">
        <v>10</v>
      </c>
      <c r="K17" s="68" t="n">
        <v>10</v>
      </c>
      <c r="L17" s="68" t="n">
        <v>10</v>
      </c>
      <c r="M17" s="68" t="n">
        <v>10</v>
      </c>
      <c r="N17" s="68" t="n">
        <v>10</v>
      </c>
      <c r="O17" s="66" t="n"/>
      <c r="P17" s="60">
        <f>IF(COUNT(F17:O17)&gt;0, SUM(F17:O17), "-")</f>
        <v/>
      </c>
      <c r="Q17" s="66">
        <f>IF(ISNUMBER(P17), ROUND(P17/$P$5*100, 1) &amp; "%", "-")</f>
        <v/>
      </c>
      <c r="R17" s="69">
        <f>IF(ISNUMBER(P17), RANK(P17, $P$6:$P$39), "-")</f>
        <v/>
      </c>
    </row>
    <row r="18" ht="22" customHeight="1">
      <c r="A18" s="62" t="n">
        <v>13</v>
      </c>
      <c r="B18" s="62" t="inlineStr">
        <is>
          <t>ห้อง 1</t>
        </is>
      </c>
      <c r="C18" s="62" t="n">
        <v>13</v>
      </c>
      <c r="D18" s="62" t="inlineStr">
        <is>
          <t>013</t>
        </is>
      </c>
      <c r="E18" s="63" t="inlineStr">
        <is>
          <t>นายธีรภัทร วาสิทธิ์เทพ</t>
        </is>
      </c>
      <c r="F18" s="64" t="n">
        <v>8</v>
      </c>
      <c r="G18" s="64" t="n">
        <v>10</v>
      </c>
      <c r="H18" s="64" t="n">
        <v>10</v>
      </c>
      <c r="I18" s="64" t="n">
        <v>10</v>
      </c>
      <c r="J18" s="64" t="n">
        <v>10</v>
      </c>
      <c r="K18" s="64" t="n">
        <v>10</v>
      </c>
      <c r="L18" s="64" t="n">
        <v>10</v>
      </c>
      <c r="M18" s="62" t="n"/>
      <c r="N18" s="64" t="n">
        <v>10</v>
      </c>
      <c r="O18" s="62" t="n"/>
      <c r="P18" s="60">
        <f>IF(COUNT(F18:O18)&gt;0, SUM(F18:O18), "-")</f>
        <v/>
      </c>
      <c r="Q18" s="62">
        <f>IF(ISNUMBER(P18), ROUND(P18/$P$5*100, 1) &amp; "%", "-")</f>
        <v/>
      </c>
      <c r="R18" s="65">
        <f>IF(ISNUMBER(P18), RANK(P18, $P$6:$P$39), "-")</f>
        <v/>
      </c>
    </row>
    <row r="19" ht="22" customHeight="1">
      <c r="A19" s="66" t="n">
        <v>14</v>
      </c>
      <c r="B19" s="66" t="inlineStr">
        <is>
          <t>ห้อง 1</t>
        </is>
      </c>
      <c r="C19" s="66" t="n">
        <v>14</v>
      </c>
      <c r="D19" s="66" t="inlineStr">
        <is>
          <t>014</t>
        </is>
      </c>
      <c r="E19" s="67" t="inlineStr">
        <is>
          <t>นายภูเบต ควันทอง</t>
        </is>
      </c>
      <c r="F19" s="66" t="n"/>
      <c r="G19" s="68" t="n">
        <v>9</v>
      </c>
      <c r="H19" s="66" t="n"/>
      <c r="I19" s="66" t="n"/>
      <c r="J19" s="66" t="n"/>
      <c r="K19" s="66" t="n"/>
      <c r="L19" s="66" t="n"/>
      <c r="M19" s="66" t="n"/>
      <c r="N19" s="66" t="n"/>
      <c r="O19" s="66" t="n"/>
      <c r="P19" s="60">
        <f>IF(COUNT(F19:O19)&gt;0, SUM(F19:O19), "-")</f>
        <v/>
      </c>
      <c r="Q19" s="66">
        <f>IF(ISNUMBER(P19), ROUND(P19/$P$5*100, 1) &amp; "%", "-")</f>
        <v/>
      </c>
      <c r="R19" s="69">
        <f>IF(ISNUMBER(P19), RANK(P19, $P$6:$P$39), "-")</f>
        <v/>
      </c>
    </row>
    <row r="20" ht="22" customHeight="1">
      <c r="A20" s="62" t="n">
        <v>15</v>
      </c>
      <c r="B20" s="62" t="inlineStr">
        <is>
          <t>ห้อง 1</t>
        </is>
      </c>
      <c r="C20" s="62" t="n">
        <v>15</v>
      </c>
      <c r="D20" s="62" t="inlineStr">
        <is>
          <t>015</t>
        </is>
      </c>
      <c r="E20" s="63" t="inlineStr">
        <is>
          <t>นายภูวพิศิษฐ์ ใหลสกุล</t>
        </is>
      </c>
      <c r="F20" s="64" t="n">
        <v>7</v>
      </c>
      <c r="G20" s="64" t="n">
        <v>8</v>
      </c>
      <c r="H20" s="64" t="n">
        <v>10</v>
      </c>
      <c r="I20" s="64" t="n">
        <v>10</v>
      </c>
      <c r="J20" s="64" t="n">
        <v>10</v>
      </c>
      <c r="K20" s="64" t="n">
        <v>10</v>
      </c>
      <c r="L20" s="64" t="n">
        <v>10</v>
      </c>
      <c r="M20" s="64" t="n">
        <v>10</v>
      </c>
      <c r="N20" s="64" t="n">
        <v>10</v>
      </c>
      <c r="O20" s="62" t="n"/>
      <c r="P20" s="60">
        <f>IF(COUNT(F20:O20)&gt;0, SUM(F20:O20), "-")</f>
        <v/>
      </c>
      <c r="Q20" s="62">
        <f>IF(ISNUMBER(P20), ROUND(P20/$P$5*100, 1) &amp; "%", "-")</f>
        <v/>
      </c>
      <c r="R20" s="65">
        <f>IF(ISNUMBER(P20), RANK(P20, $P$6:$P$39), "-")</f>
        <v/>
      </c>
    </row>
    <row r="21" ht="22" customHeight="1">
      <c r="A21" s="66" t="n">
        <v>16</v>
      </c>
      <c r="B21" s="66" t="inlineStr">
        <is>
          <t>ห้อง 1</t>
        </is>
      </c>
      <c r="C21" s="66" t="n">
        <v>16</v>
      </c>
      <c r="D21" s="66" t="inlineStr">
        <is>
          <t>016</t>
        </is>
      </c>
      <c r="E21" s="67" t="inlineStr">
        <is>
          <t>นางสาวมินตา บินอามัด</t>
        </is>
      </c>
      <c r="F21" s="68" t="n">
        <v>8</v>
      </c>
      <c r="G21" s="68" t="n">
        <v>9</v>
      </c>
      <c r="H21" s="68" t="n">
        <v>10</v>
      </c>
      <c r="I21" s="68" t="n">
        <v>10</v>
      </c>
      <c r="J21" s="68" t="n">
        <v>10</v>
      </c>
      <c r="K21" s="68" t="n">
        <v>10</v>
      </c>
      <c r="L21" s="68" t="n">
        <v>10</v>
      </c>
      <c r="M21" s="68" t="n">
        <v>10</v>
      </c>
      <c r="N21" s="68" t="n">
        <v>10</v>
      </c>
      <c r="O21" s="66" t="n"/>
      <c r="P21" s="60">
        <f>IF(COUNT(F21:O21)&gt;0, SUM(F21:O21), "-")</f>
        <v/>
      </c>
      <c r="Q21" s="66">
        <f>IF(ISNUMBER(P21), ROUND(P21/$P$5*100, 1) &amp; "%", "-")</f>
        <v/>
      </c>
      <c r="R21" s="69">
        <f>IF(ISNUMBER(P21), RANK(P21, $P$6:$P$39), "-")</f>
        <v/>
      </c>
    </row>
    <row r="22" ht="22" customHeight="1">
      <c r="A22" s="62" t="n">
        <v>17</v>
      </c>
      <c r="B22" s="62" t="inlineStr">
        <is>
          <t>ห้อง 1</t>
        </is>
      </c>
      <c r="C22" s="62" t="n">
        <v>17</v>
      </c>
      <c r="D22" s="62" t="inlineStr">
        <is>
          <t>017</t>
        </is>
      </c>
      <c r="E22" s="63" t="inlineStr">
        <is>
          <t>นายอัรฮัม ยูนุ</t>
        </is>
      </c>
      <c r="F22" s="64" t="n">
        <v>9</v>
      </c>
      <c r="G22" s="64" t="n">
        <v>10</v>
      </c>
      <c r="H22" s="64" t="n">
        <v>10</v>
      </c>
      <c r="I22" s="64" t="n">
        <v>10</v>
      </c>
      <c r="J22" s="64" t="n">
        <v>10</v>
      </c>
      <c r="K22" s="64" t="n">
        <v>10</v>
      </c>
      <c r="L22" s="64" t="n">
        <v>10</v>
      </c>
      <c r="M22" s="64" t="n">
        <v>10</v>
      </c>
      <c r="N22" s="64" t="n">
        <v>10</v>
      </c>
      <c r="O22" s="62" t="n"/>
      <c r="P22" s="60">
        <f>IF(COUNT(F22:O22)&gt;0, SUM(F22:O22), "-")</f>
        <v/>
      </c>
      <c r="Q22" s="62">
        <f>IF(ISNUMBER(P22), ROUND(P22/$P$5*100, 1) &amp; "%", "-")</f>
        <v/>
      </c>
      <c r="R22" s="65">
        <f>IF(ISNUMBER(P22), RANK(P22, $P$6:$P$39), "-")</f>
        <v/>
      </c>
    </row>
    <row r="23" ht="22" customHeight="1">
      <c r="A23" s="66" t="n">
        <v>18</v>
      </c>
      <c r="B23" s="66" t="inlineStr">
        <is>
          <t>ห้อง 1</t>
        </is>
      </c>
      <c r="C23" s="66" t="n">
        <v>18</v>
      </c>
      <c r="D23" s="66" t="inlineStr">
        <is>
          <t>018</t>
        </is>
      </c>
      <c r="E23" s="67" t="inlineStr">
        <is>
          <t>นายอานนท์ณัฏฐ์ ไวพจน์</t>
        </is>
      </c>
      <c r="F23" s="68" t="n">
        <v>5</v>
      </c>
      <c r="G23" s="68" t="n">
        <v>9</v>
      </c>
      <c r="H23" s="68" t="n">
        <v>10</v>
      </c>
      <c r="I23" s="68" t="n">
        <v>10</v>
      </c>
      <c r="J23" s="68" t="n">
        <v>10</v>
      </c>
      <c r="K23" s="68" t="n">
        <v>10</v>
      </c>
      <c r="L23" s="68" t="n">
        <v>10</v>
      </c>
      <c r="M23" s="68" t="n">
        <v>10</v>
      </c>
      <c r="N23" s="68" t="n">
        <v>10</v>
      </c>
      <c r="O23" s="66" t="n"/>
      <c r="P23" s="60">
        <f>IF(COUNT(F23:O23)&gt;0, SUM(F23:O23), "-")</f>
        <v/>
      </c>
      <c r="Q23" s="66">
        <f>IF(ISNUMBER(P23), ROUND(P23/$P$5*100, 1) &amp; "%", "-")</f>
        <v/>
      </c>
      <c r="R23" s="69">
        <f>IF(ISNUMBER(P23), RANK(P23, $P$6:$P$39), "-")</f>
        <v/>
      </c>
    </row>
    <row r="24" ht="22" customHeight="1">
      <c r="A24" s="62" t="n">
        <v>19</v>
      </c>
      <c r="B24" s="62" t="inlineStr">
        <is>
          <t>ห้อง 2</t>
        </is>
      </c>
      <c r="C24" s="62" t="n">
        <v>1</v>
      </c>
      <c r="D24" s="62" t="inlineStr">
        <is>
          <t>020</t>
        </is>
      </c>
      <c r="E24" s="63" t="inlineStr">
        <is>
          <t>นายชุติวัต สุขมั่น</t>
        </is>
      </c>
      <c r="F24" s="64" t="n">
        <v>9</v>
      </c>
      <c r="G24" s="64" t="n">
        <v>9</v>
      </c>
      <c r="H24" s="64" t="n">
        <v>10</v>
      </c>
      <c r="I24" s="64" t="n">
        <v>10</v>
      </c>
      <c r="J24" s="64" t="n">
        <v>10</v>
      </c>
      <c r="K24" s="64" t="n">
        <v>10</v>
      </c>
      <c r="L24" s="64" t="n">
        <v>10</v>
      </c>
      <c r="M24" s="64" t="n">
        <v>10</v>
      </c>
      <c r="N24" s="62" t="n"/>
      <c r="O24" s="62" t="n"/>
      <c r="P24" s="60">
        <f>IF(COUNT(F24:O24)&gt;0, SUM(F24:O24), "-")</f>
        <v/>
      </c>
      <c r="Q24" s="62">
        <f>IF(ISNUMBER(P24), ROUND(P24/$P$5*100, 1) &amp; "%", "-")</f>
        <v/>
      </c>
      <c r="R24" s="65">
        <f>IF(ISNUMBER(P24), RANK(P24, $P$6:$P$39), "-")</f>
        <v/>
      </c>
    </row>
    <row r="25" ht="22" customHeight="1">
      <c r="A25" s="66" t="n">
        <v>20</v>
      </c>
      <c r="B25" s="66" t="inlineStr">
        <is>
          <t>ห้อง 2</t>
        </is>
      </c>
      <c r="C25" s="66" t="n">
        <v>2</v>
      </c>
      <c r="D25" s="66" t="inlineStr">
        <is>
          <t>021</t>
        </is>
      </c>
      <c r="E25" s="67" t="inlineStr">
        <is>
          <t>เด็กชายณัพร รัตนสุวรรณ</t>
        </is>
      </c>
      <c r="F25" s="68" t="n">
        <v>9</v>
      </c>
      <c r="G25" s="68" t="n">
        <v>9</v>
      </c>
      <c r="H25" s="68" t="n">
        <v>10</v>
      </c>
      <c r="I25" s="66" t="n"/>
      <c r="J25" s="68" t="n">
        <v>10</v>
      </c>
      <c r="K25" s="66" t="n"/>
      <c r="L25" s="66" t="n"/>
      <c r="M25" s="66" t="n"/>
      <c r="N25" s="66" t="n"/>
      <c r="O25" s="66" t="n"/>
      <c r="P25" s="60">
        <f>IF(COUNT(F25:O25)&gt;0, SUM(F25:O25), "-")</f>
        <v/>
      </c>
      <c r="Q25" s="66">
        <f>IF(ISNUMBER(P25), ROUND(P25/$P$5*100, 1) &amp; "%", "-")</f>
        <v/>
      </c>
      <c r="R25" s="69">
        <f>IF(ISNUMBER(P25), RANK(P25, $P$6:$P$39), "-")</f>
        <v/>
      </c>
    </row>
    <row r="26" ht="22" customHeight="1">
      <c r="A26" s="62" t="n">
        <v>21</v>
      </c>
      <c r="B26" s="62" t="inlineStr">
        <is>
          <t>ห้อง 2</t>
        </is>
      </c>
      <c r="C26" s="62" t="n">
        <v>3</v>
      </c>
      <c r="D26" s="62" t="inlineStr">
        <is>
          <t>022</t>
        </is>
      </c>
      <c r="E26" s="63" t="inlineStr">
        <is>
          <t>นายตุลยวัต ทาสีทอง</t>
        </is>
      </c>
      <c r="F26" s="64" t="n">
        <v>8</v>
      </c>
      <c r="G26" s="64" t="n">
        <v>0</v>
      </c>
      <c r="H26" s="64" t="n">
        <v>10</v>
      </c>
      <c r="I26" s="64" t="n">
        <v>10</v>
      </c>
      <c r="J26" s="64" t="n">
        <v>10</v>
      </c>
      <c r="K26" s="62" t="n"/>
      <c r="L26" s="64" t="n">
        <v>5</v>
      </c>
      <c r="M26" s="64" t="n">
        <v>10</v>
      </c>
      <c r="N26" s="62" t="n"/>
      <c r="O26" s="62" t="n"/>
      <c r="P26" s="60">
        <f>IF(COUNT(F26:O26)&gt;0, SUM(F26:O26), "-")</f>
        <v/>
      </c>
      <c r="Q26" s="62">
        <f>IF(ISNUMBER(P26), ROUND(P26/$P$5*100, 1) &amp; "%", "-")</f>
        <v/>
      </c>
      <c r="R26" s="65">
        <f>IF(ISNUMBER(P26), RANK(P26, $P$6:$P$39), "-")</f>
        <v/>
      </c>
    </row>
    <row r="27" ht="22" customHeight="1">
      <c r="A27" s="66" t="n">
        <v>22</v>
      </c>
      <c r="B27" s="66" t="inlineStr">
        <is>
          <t>ห้อง 2</t>
        </is>
      </c>
      <c r="C27" s="66" t="n">
        <v>4</v>
      </c>
      <c r="D27" s="66" t="inlineStr">
        <is>
          <t>023</t>
        </is>
      </c>
      <c r="E27" s="67" t="inlineStr">
        <is>
          <t>เด็กชายธนกฤต แก้วตา</t>
        </is>
      </c>
      <c r="F27" s="68" t="n">
        <v>8</v>
      </c>
      <c r="G27" s="68" t="n">
        <v>8</v>
      </c>
      <c r="H27" s="68" t="n">
        <v>10</v>
      </c>
      <c r="I27" s="68" t="n">
        <v>10</v>
      </c>
      <c r="J27" s="68" t="n">
        <v>10</v>
      </c>
      <c r="K27" s="66" t="n"/>
      <c r="L27" s="68" t="n">
        <v>10</v>
      </c>
      <c r="M27" s="68" t="n">
        <v>10</v>
      </c>
      <c r="N27" s="68" t="n">
        <v>10</v>
      </c>
      <c r="O27" s="66" t="n"/>
      <c r="P27" s="60">
        <f>IF(COUNT(F27:O27)&gt;0, SUM(F27:O27), "-")</f>
        <v/>
      </c>
      <c r="Q27" s="66">
        <f>IF(ISNUMBER(P27), ROUND(P27/$P$5*100, 1) &amp; "%", "-")</f>
        <v/>
      </c>
      <c r="R27" s="69">
        <f>IF(ISNUMBER(P27), RANK(P27, $P$6:$P$39), "-")</f>
        <v/>
      </c>
    </row>
    <row r="28" ht="22" customHeight="1">
      <c r="A28" s="62" t="n">
        <v>23</v>
      </c>
      <c r="B28" s="62" t="inlineStr">
        <is>
          <t>ห้อง 2</t>
        </is>
      </c>
      <c r="C28" s="62" t="n">
        <v>5</v>
      </c>
      <c r="D28" s="62" t="inlineStr">
        <is>
          <t>024</t>
        </is>
      </c>
      <c r="E28" s="63" t="inlineStr">
        <is>
          <t>นายธเนศพล กันเมือง</t>
        </is>
      </c>
      <c r="F28" s="64" t="n">
        <v>7</v>
      </c>
      <c r="G28" s="64" t="n">
        <v>8</v>
      </c>
      <c r="H28" s="64" t="n">
        <v>10</v>
      </c>
      <c r="I28" s="64" t="n">
        <v>10</v>
      </c>
      <c r="J28" s="64" t="n">
        <v>10</v>
      </c>
      <c r="K28" s="62" t="n"/>
      <c r="L28" s="64" t="n">
        <v>5</v>
      </c>
      <c r="M28" s="64" t="n">
        <v>10</v>
      </c>
      <c r="N28" s="62" t="n"/>
      <c r="O28" s="62" t="n"/>
      <c r="P28" s="60">
        <f>IF(COUNT(F28:O28)&gt;0, SUM(F28:O28), "-")</f>
        <v/>
      </c>
      <c r="Q28" s="62">
        <f>IF(ISNUMBER(P28), ROUND(P28/$P$5*100, 1) &amp; "%", "-")</f>
        <v/>
      </c>
      <c r="R28" s="65">
        <f>IF(ISNUMBER(P28), RANK(P28, $P$6:$P$39), "-")</f>
        <v/>
      </c>
    </row>
    <row r="29" ht="22" customHeight="1">
      <c r="A29" s="66" t="n">
        <v>24</v>
      </c>
      <c r="B29" s="66" t="inlineStr">
        <is>
          <t>ห้อง 2</t>
        </is>
      </c>
      <c r="C29" s="66" t="n">
        <v>6</v>
      </c>
      <c r="D29" s="66" t="inlineStr">
        <is>
          <t>025</t>
        </is>
      </c>
      <c r="E29" s="67" t="inlineStr">
        <is>
          <t>นายนรากร จันทร์กล่ำ</t>
        </is>
      </c>
      <c r="F29" s="68" t="n">
        <v>9</v>
      </c>
      <c r="G29" s="68" t="n">
        <v>0</v>
      </c>
      <c r="H29" s="68" t="n">
        <v>10</v>
      </c>
      <c r="I29" s="68" t="n">
        <v>10</v>
      </c>
      <c r="J29" s="66" t="n"/>
      <c r="K29" s="66" t="n"/>
      <c r="L29" s="66" t="n"/>
      <c r="M29" s="66" t="n"/>
      <c r="N29" s="66" t="n"/>
      <c r="O29" s="66" t="n"/>
      <c r="P29" s="60">
        <f>IF(COUNT(F29:O29)&gt;0, SUM(F29:O29), "-")</f>
        <v/>
      </c>
      <c r="Q29" s="66">
        <f>IF(ISNUMBER(P29), ROUND(P29/$P$5*100, 1) &amp; "%", "-")</f>
        <v/>
      </c>
      <c r="R29" s="69">
        <f>IF(ISNUMBER(P29), RANK(P29, $P$6:$P$39), "-")</f>
        <v/>
      </c>
    </row>
    <row r="30" ht="22" customHeight="1">
      <c r="A30" s="62" t="n">
        <v>25</v>
      </c>
      <c r="B30" s="62" t="inlineStr">
        <is>
          <t>ห้อง 2</t>
        </is>
      </c>
      <c r="C30" s="62" t="n">
        <v>7</v>
      </c>
      <c r="D30" s="62" t="inlineStr">
        <is>
          <t>026</t>
        </is>
      </c>
      <c r="E30" s="63" t="inlineStr">
        <is>
          <t>นายนราวิชญ์ ทองระคนธ์</t>
        </is>
      </c>
      <c r="F30" s="64" t="n">
        <v>8</v>
      </c>
      <c r="G30" s="64" t="n">
        <v>8</v>
      </c>
      <c r="H30" s="64" t="n">
        <v>10</v>
      </c>
      <c r="I30" s="62" t="n"/>
      <c r="J30" s="64" t="n">
        <v>10</v>
      </c>
      <c r="K30" s="64" t="n">
        <v>10</v>
      </c>
      <c r="L30" s="64" t="n">
        <v>10</v>
      </c>
      <c r="M30" s="62" t="n"/>
      <c r="N30" s="62" t="n"/>
      <c r="O30" s="62" t="n"/>
      <c r="P30" s="60">
        <f>IF(COUNT(F30:O30)&gt;0, SUM(F30:O30), "-")</f>
        <v/>
      </c>
      <c r="Q30" s="62">
        <f>IF(ISNUMBER(P30), ROUND(P30/$P$5*100, 1) &amp; "%", "-")</f>
        <v/>
      </c>
      <c r="R30" s="65">
        <f>IF(ISNUMBER(P30), RANK(P30, $P$6:$P$39), "-")</f>
        <v/>
      </c>
    </row>
    <row r="31" ht="22" customHeight="1">
      <c r="A31" s="66" t="n">
        <v>26</v>
      </c>
      <c r="B31" s="66" t="inlineStr">
        <is>
          <t>ห้อง 2</t>
        </is>
      </c>
      <c r="C31" s="66" t="n">
        <v>8</v>
      </c>
      <c r="D31" s="66" t="inlineStr">
        <is>
          <t>027</t>
        </is>
      </c>
      <c r="E31" s="67" t="inlineStr">
        <is>
          <t>นายนันทพงศ์ ช่ออุบล</t>
        </is>
      </c>
      <c r="F31" s="68" t="n">
        <v>5</v>
      </c>
      <c r="G31" s="66" t="n"/>
      <c r="H31" s="66" t="n"/>
      <c r="I31" s="66" t="n"/>
      <c r="J31" s="68" t="n">
        <v>10</v>
      </c>
      <c r="K31" s="66" t="n"/>
      <c r="L31" s="66" t="n"/>
      <c r="M31" s="66" t="n"/>
      <c r="N31" s="66" t="n"/>
      <c r="O31" s="66" t="n"/>
      <c r="P31" s="60">
        <f>IF(COUNT(F31:O31)&gt;0, SUM(F31:O31), "-")</f>
        <v/>
      </c>
      <c r="Q31" s="66">
        <f>IF(ISNUMBER(P31), ROUND(P31/$P$5*100, 1) &amp; "%", "-")</f>
        <v/>
      </c>
      <c r="R31" s="69">
        <f>IF(ISNUMBER(P31), RANK(P31, $P$6:$P$39), "-")</f>
        <v/>
      </c>
    </row>
    <row r="32" ht="22" customHeight="1">
      <c r="A32" s="62" t="n">
        <v>27</v>
      </c>
      <c r="B32" s="62" t="inlineStr">
        <is>
          <t>ห้อง 2</t>
        </is>
      </c>
      <c r="C32" s="62" t="n">
        <v>9</v>
      </c>
      <c r="D32" s="62" t="inlineStr">
        <is>
          <t>028</t>
        </is>
      </c>
      <c r="E32" s="63" t="inlineStr">
        <is>
          <t>เด็กชายพงศ์พัทธ์ โสดา</t>
        </is>
      </c>
      <c r="F32" s="64" t="n">
        <v>9</v>
      </c>
      <c r="G32" s="64" t="n">
        <v>8</v>
      </c>
      <c r="H32" s="64" t="n">
        <v>10</v>
      </c>
      <c r="I32" s="64" t="n">
        <v>10</v>
      </c>
      <c r="J32" s="64" t="n">
        <v>10</v>
      </c>
      <c r="K32" s="64" t="n">
        <v>10</v>
      </c>
      <c r="L32" s="64" t="n">
        <v>5</v>
      </c>
      <c r="M32" s="62" t="n"/>
      <c r="N32" s="64" t="n">
        <v>10</v>
      </c>
      <c r="O32" s="62" t="n"/>
      <c r="P32" s="60">
        <f>IF(COUNT(F32:O32)&gt;0, SUM(F32:O32), "-")</f>
        <v/>
      </c>
      <c r="Q32" s="62">
        <f>IF(ISNUMBER(P32), ROUND(P32/$P$5*100, 1) &amp; "%", "-")</f>
        <v/>
      </c>
      <c r="R32" s="65">
        <f>IF(ISNUMBER(P32), RANK(P32, $P$6:$P$39), "-")</f>
        <v/>
      </c>
    </row>
    <row r="33" ht="22" customHeight="1">
      <c r="A33" s="66" t="n">
        <v>28</v>
      </c>
      <c r="B33" s="66" t="inlineStr">
        <is>
          <t>ห้อง 2</t>
        </is>
      </c>
      <c r="C33" s="66" t="n">
        <v>10</v>
      </c>
      <c r="D33" s="66" t="inlineStr">
        <is>
          <t>029</t>
        </is>
      </c>
      <c r="E33" s="67" t="inlineStr">
        <is>
          <t>นายภูธเรศ อินทโชติ</t>
        </is>
      </c>
      <c r="F33" s="68" t="n">
        <v>8</v>
      </c>
      <c r="G33" s="68" t="n">
        <v>9</v>
      </c>
      <c r="H33" s="68" t="n">
        <v>10</v>
      </c>
      <c r="I33" s="68" t="n">
        <v>10</v>
      </c>
      <c r="J33" s="68" t="n">
        <v>10</v>
      </c>
      <c r="K33" s="68" t="n">
        <v>10</v>
      </c>
      <c r="L33" s="68" t="n">
        <v>10</v>
      </c>
      <c r="M33" s="68" t="n">
        <v>10</v>
      </c>
      <c r="N33" s="68" t="n">
        <v>10</v>
      </c>
      <c r="O33" s="66" t="n"/>
      <c r="P33" s="60">
        <f>IF(COUNT(F33:O33)&gt;0, SUM(F33:O33), "-")</f>
        <v/>
      </c>
      <c r="Q33" s="66">
        <f>IF(ISNUMBER(P33), ROUND(P33/$P$5*100, 1) &amp; "%", "-")</f>
        <v/>
      </c>
      <c r="R33" s="69">
        <f>IF(ISNUMBER(P33), RANK(P33, $P$6:$P$39), "-")</f>
        <v/>
      </c>
    </row>
    <row r="34" ht="22" customHeight="1">
      <c r="A34" s="62" t="n">
        <v>29</v>
      </c>
      <c r="B34" s="62" t="inlineStr">
        <is>
          <t>ห้อง 2</t>
        </is>
      </c>
      <c r="C34" s="62" t="n">
        <v>11</v>
      </c>
      <c r="D34" s="62" t="inlineStr">
        <is>
          <t>030</t>
        </is>
      </c>
      <c r="E34" s="63" t="inlineStr">
        <is>
          <t>เด็กหญิงวราภรณ์ มั่นคง</t>
        </is>
      </c>
      <c r="F34" s="64" t="n">
        <v>8</v>
      </c>
      <c r="G34" s="64" t="n">
        <v>8</v>
      </c>
      <c r="H34" s="64" t="n">
        <v>10</v>
      </c>
      <c r="I34" s="62" t="n"/>
      <c r="J34" s="64" t="n">
        <v>10</v>
      </c>
      <c r="K34" s="62" t="n"/>
      <c r="L34" s="64" t="n">
        <v>10</v>
      </c>
      <c r="M34" s="64" t="n">
        <v>10</v>
      </c>
      <c r="N34" s="64" t="n">
        <v>10</v>
      </c>
      <c r="O34" s="62" t="n"/>
      <c r="P34" s="60">
        <f>IF(COUNT(F34:O34)&gt;0, SUM(F34:O34), "-")</f>
        <v/>
      </c>
      <c r="Q34" s="62">
        <f>IF(ISNUMBER(P34), ROUND(P34/$P$5*100, 1) &amp; "%", "-")</f>
        <v/>
      </c>
      <c r="R34" s="65">
        <f>IF(ISNUMBER(P34), RANK(P34, $P$6:$P$39), "-")</f>
        <v/>
      </c>
    </row>
    <row r="35" ht="22" customHeight="1">
      <c r="A35" s="66" t="n">
        <v>30</v>
      </c>
      <c r="B35" s="66" t="inlineStr">
        <is>
          <t>ห้อง 2</t>
        </is>
      </c>
      <c r="C35" s="66" t="n">
        <v>12</v>
      </c>
      <c r="D35" s="66" t="inlineStr">
        <is>
          <t>031</t>
        </is>
      </c>
      <c r="E35" s="67" t="inlineStr">
        <is>
          <t>นายวีรวัฒน์ วงษ์ทิพย์</t>
        </is>
      </c>
      <c r="F35" s="68" t="n">
        <v>9</v>
      </c>
      <c r="G35" s="68" t="n">
        <v>9</v>
      </c>
      <c r="H35" s="66" t="n"/>
      <c r="I35" s="68" t="n">
        <v>10</v>
      </c>
      <c r="J35" s="68" t="n">
        <v>10</v>
      </c>
      <c r="K35" s="66" t="n"/>
      <c r="L35" s="66" t="n"/>
      <c r="M35" s="66" t="n"/>
      <c r="N35" s="66" t="n"/>
      <c r="O35" s="66" t="n"/>
      <c r="P35" s="60">
        <f>IF(COUNT(F35:O35)&gt;0, SUM(F35:O35), "-")</f>
        <v/>
      </c>
      <c r="Q35" s="66">
        <f>IF(ISNUMBER(P35), ROUND(P35/$P$5*100, 1) &amp; "%", "-")</f>
        <v/>
      </c>
      <c r="R35" s="69">
        <f>IF(ISNUMBER(P35), RANK(P35, $P$6:$P$39), "-")</f>
        <v/>
      </c>
    </row>
    <row r="36" ht="22" customHeight="1">
      <c r="A36" s="62" t="n">
        <v>31</v>
      </c>
      <c r="B36" s="62" t="inlineStr">
        <is>
          <t>ห้อง 2</t>
        </is>
      </c>
      <c r="C36" s="62" t="n">
        <v>13</v>
      </c>
      <c r="D36" s="62" t="inlineStr">
        <is>
          <t>032</t>
        </is>
      </c>
      <c r="E36" s="63" t="inlineStr">
        <is>
          <t>นายวุฒิกร พาณิชย์กุลเกียรติ</t>
        </is>
      </c>
      <c r="F36" s="64" t="n">
        <v>5</v>
      </c>
      <c r="G36" s="64" t="n">
        <v>7</v>
      </c>
      <c r="H36" s="64" t="n">
        <v>10</v>
      </c>
      <c r="I36" s="64" t="n">
        <v>10</v>
      </c>
      <c r="J36" s="64" t="n">
        <v>10</v>
      </c>
      <c r="K36" s="64" t="n">
        <v>10</v>
      </c>
      <c r="L36" s="64" t="n">
        <v>10</v>
      </c>
      <c r="M36" s="64" t="n">
        <v>10</v>
      </c>
      <c r="N36" s="64" t="n">
        <v>10</v>
      </c>
      <c r="O36" s="62" t="n"/>
      <c r="P36" s="60">
        <f>IF(COUNT(F36:O36)&gt;0, SUM(F36:O36), "-")</f>
        <v/>
      </c>
      <c r="Q36" s="62">
        <f>IF(ISNUMBER(P36), ROUND(P36/$P$5*100, 1) &amp; "%", "-")</f>
        <v/>
      </c>
      <c r="R36" s="65">
        <f>IF(ISNUMBER(P36), RANK(P36, $P$6:$P$39), "-")</f>
        <v/>
      </c>
    </row>
    <row r="37" ht="22" customHeight="1">
      <c r="A37" s="66" t="n">
        <v>32</v>
      </c>
      <c r="B37" s="66" t="inlineStr">
        <is>
          <t>ห้อง 2</t>
        </is>
      </c>
      <c r="C37" s="66" t="n">
        <v>14</v>
      </c>
      <c r="D37" s="66" t="inlineStr">
        <is>
          <t>033</t>
        </is>
      </c>
      <c r="E37" s="67" t="inlineStr">
        <is>
          <t>เด็กหญิงสโรชา มาเส็ง</t>
        </is>
      </c>
      <c r="F37" s="68" t="n">
        <v>8</v>
      </c>
      <c r="G37" s="68" t="n">
        <v>9</v>
      </c>
      <c r="H37" s="66" t="n"/>
      <c r="I37" s="68" t="n">
        <v>10</v>
      </c>
      <c r="J37" s="68" t="n">
        <v>10</v>
      </c>
      <c r="K37" s="66" t="n"/>
      <c r="L37" s="66" t="n"/>
      <c r="M37" s="66" t="n"/>
      <c r="N37" s="66" t="n"/>
      <c r="O37" s="66" t="n"/>
      <c r="P37" s="60">
        <f>IF(COUNT(F37:O37)&gt;0, SUM(F37:O37), "-")</f>
        <v/>
      </c>
      <c r="Q37" s="66">
        <f>IF(ISNUMBER(P37), ROUND(P37/$P$5*100, 1) &amp; "%", "-")</f>
        <v/>
      </c>
      <c r="R37" s="69">
        <f>IF(ISNUMBER(P37), RANK(P37, $P$6:$P$39), "-")</f>
        <v/>
      </c>
    </row>
    <row r="38" ht="22" customHeight="1">
      <c r="A38" s="62" t="n">
        <v>33</v>
      </c>
      <c r="B38" s="62" t="inlineStr">
        <is>
          <t>ห้อง 2</t>
        </is>
      </c>
      <c r="C38" s="62" t="n">
        <v>15</v>
      </c>
      <c r="D38" s="62" t="inlineStr">
        <is>
          <t>034</t>
        </is>
      </c>
      <c r="E38" s="63" t="inlineStr">
        <is>
          <t>นายอธิป ทองดอนเถื่อน</t>
        </is>
      </c>
      <c r="F38" s="64" t="n">
        <v>8</v>
      </c>
      <c r="G38" s="64" t="n">
        <v>9</v>
      </c>
      <c r="H38" s="64" t="n">
        <v>10</v>
      </c>
      <c r="I38" s="64" t="n">
        <v>10</v>
      </c>
      <c r="J38" s="64" t="n">
        <v>10</v>
      </c>
      <c r="K38" s="62" t="n"/>
      <c r="L38" s="62" t="n"/>
      <c r="M38" s="62" t="n"/>
      <c r="N38" s="62" t="n"/>
      <c r="O38" s="62" t="n"/>
      <c r="P38" s="60">
        <f>IF(COUNT(F38:O38)&gt;0, SUM(F38:O38), "-")</f>
        <v/>
      </c>
      <c r="Q38" s="62">
        <f>IF(ISNUMBER(P38), ROUND(P38/$P$5*100, 1) &amp; "%", "-")</f>
        <v/>
      </c>
      <c r="R38" s="65">
        <f>IF(ISNUMBER(P38), RANK(P38, $P$6:$P$39), "-")</f>
        <v/>
      </c>
    </row>
    <row r="39" ht="22" customHeight="1">
      <c r="A39" s="66" t="n">
        <v>34</v>
      </c>
      <c r="B39" s="66" t="inlineStr">
        <is>
          <t>ห้อง 2</t>
        </is>
      </c>
      <c r="C39" s="66" t="n">
        <v>16</v>
      </c>
      <c r="D39" s="66" t="inlineStr">
        <is>
          <t>035</t>
        </is>
      </c>
      <c r="E39" s="67" t="inlineStr">
        <is>
          <t>เด็กหญิงอารยา จันทน</t>
        </is>
      </c>
      <c r="F39" s="68" t="n">
        <v>10</v>
      </c>
      <c r="G39" s="68" t="n">
        <v>8</v>
      </c>
      <c r="H39" s="68" t="n">
        <v>10</v>
      </c>
      <c r="I39" s="68" t="n">
        <v>10</v>
      </c>
      <c r="J39" s="68" t="n">
        <v>10</v>
      </c>
      <c r="K39" s="68" t="n">
        <v>10</v>
      </c>
      <c r="L39" s="68" t="n">
        <v>10</v>
      </c>
      <c r="M39" s="66" t="n"/>
      <c r="N39" s="68" t="n">
        <v>10</v>
      </c>
      <c r="O39" s="66" t="n"/>
      <c r="P39" s="60">
        <f>IF(COUNT(F39:O39)&gt;0, SUM(F39:O39), "-")</f>
        <v/>
      </c>
      <c r="Q39" s="66">
        <f>IF(ISNUMBER(P39), ROUND(P39/$P$5*100, 1) &amp; "%", "-")</f>
        <v/>
      </c>
      <c r="R39" s="69">
        <f>IF(ISNUMBER(P39), RANK(P39, $P$6:$P$39), "-")</f>
        <v/>
      </c>
    </row>
    <row r="40" ht="22" customHeight="1">
      <c r="A40" s="70" t="inlineStr">
        <is>
          <t>คะแนนเฉลี่ย (Average)</t>
        </is>
      </c>
      <c r="B40" s="71" t="n"/>
      <c r="C40" s="71" t="n"/>
      <c r="D40" s="71" t="n"/>
      <c r="E40" s="71" t="n"/>
      <c r="F40" s="72">
        <f>IFERROR(ROUND(AVERAGE(F6:F39), 2), "-")</f>
        <v/>
      </c>
      <c r="G40" s="72">
        <f>IFERROR(ROUND(AVERAGE(G6:G39), 2), "-")</f>
        <v/>
      </c>
      <c r="H40" s="72">
        <f>IFERROR(ROUND(AVERAGE(H6:H39), 2), "-")</f>
        <v/>
      </c>
      <c r="I40" s="72">
        <f>IFERROR(ROUND(AVERAGE(I6:I39), 2), "-")</f>
        <v/>
      </c>
      <c r="J40" s="72">
        <f>IFERROR(ROUND(AVERAGE(J6:J39), 2), "-")</f>
        <v/>
      </c>
      <c r="K40" s="72">
        <f>IFERROR(ROUND(AVERAGE(K6:K39), 2), "-")</f>
        <v/>
      </c>
      <c r="L40" s="72">
        <f>IFERROR(ROUND(AVERAGE(L6:L39), 2), "-")</f>
        <v/>
      </c>
      <c r="M40" s="72">
        <f>IFERROR(ROUND(AVERAGE(M6:M39), 2), "-")</f>
        <v/>
      </c>
      <c r="N40" s="72">
        <f>IFERROR(ROUND(AVERAGE(N6:N39), 2), "-")</f>
        <v/>
      </c>
      <c r="O40" s="72">
        <f>IFERROR(ROUND(AVERAGE(O6:O39), 2), "-")</f>
        <v/>
      </c>
      <c r="P40" s="72">
        <f>IFERROR(ROUND(AVERAGE(P6:P39), 2), "-")</f>
        <v/>
      </c>
      <c r="R40" s="71" t="n"/>
    </row>
    <row r="41" ht="22" customHeight="1">
      <c r="A41" s="70" t="inlineStr">
        <is>
          <t>คะแนนสูงสุด (Max)</t>
        </is>
      </c>
      <c r="B41" s="71" t="n"/>
      <c r="C41" s="71" t="n"/>
      <c r="D41" s="71" t="n"/>
      <c r="E41" s="71" t="n"/>
      <c r="F41" s="72">
        <f>IFERROR(MAX(F6:F39), "-")</f>
        <v/>
      </c>
      <c r="G41" s="72">
        <f>IFERROR(MAX(G6:G39), "-")</f>
        <v/>
      </c>
      <c r="H41" s="72">
        <f>IFERROR(MAX(H6:H39), "-")</f>
        <v/>
      </c>
      <c r="I41" s="72">
        <f>IFERROR(MAX(I6:I39), "-")</f>
        <v/>
      </c>
      <c r="J41" s="72">
        <f>IFERROR(MAX(J6:J39), "-")</f>
        <v/>
      </c>
      <c r="K41" s="72">
        <f>IFERROR(MAX(K6:K39), "-")</f>
        <v/>
      </c>
      <c r="L41" s="72">
        <f>IFERROR(MAX(L6:L39), "-")</f>
        <v/>
      </c>
      <c r="M41" s="72">
        <f>IFERROR(MAX(M6:M39), "-")</f>
        <v/>
      </c>
      <c r="N41" s="72">
        <f>IFERROR(MAX(N6:N39), "-")</f>
        <v/>
      </c>
      <c r="O41" s="72">
        <f>IFERROR(MAX(O6:O39), "-")</f>
        <v/>
      </c>
      <c r="P41" s="72">
        <f>IFERROR(MAX(P6:P39), "-")</f>
        <v/>
      </c>
      <c r="R41" s="71" t="n"/>
    </row>
    <row r="42" ht="22" customHeight="1">
      <c r="A42" s="70" t="inlineStr">
        <is>
          <t>คะแนนต่ำสุด (Min)</t>
        </is>
      </c>
      <c r="B42" s="71" t="n"/>
      <c r="C42" s="71" t="n"/>
      <c r="D42" s="71" t="n"/>
      <c r="E42" s="71" t="n"/>
      <c r="F42" s="72">
        <f>IFERROR(MIN(F6:F39), "-")</f>
        <v/>
      </c>
      <c r="G42" s="72">
        <f>IFERROR(MIN(G6:G39), "-")</f>
        <v/>
      </c>
      <c r="H42" s="72">
        <f>IFERROR(MIN(H6:H39), "-")</f>
        <v/>
      </c>
      <c r="I42" s="72">
        <f>IFERROR(MIN(I6:I39), "-")</f>
        <v/>
      </c>
      <c r="J42" s="72">
        <f>IFERROR(MIN(J6:J39), "-")</f>
        <v/>
      </c>
      <c r="K42" s="72">
        <f>IFERROR(MIN(K6:K39), "-")</f>
        <v/>
      </c>
      <c r="L42" s="72">
        <f>IFERROR(MIN(L6:L39), "-")</f>
        <v/>
      </c>
      <c r="M42" s="72">
        <f>IFERROR(MIN(M6:M39), "-")</f>
        <v/>
      </c>
      <c r="N42" s="72">
        <f>IFERROR(MIN(N6:N39), "-")</f>
        <v/>
      </c>
      <c r="O42" s="72">
        <f>IFERROR(MIN(O6:O39), "-")</f>
        <v/>
      </c>
      <c r="P42" s="72">
        <f>IFERROR(MIN(P6:P39), "-")</f>
        <v/>
      </c>
      <c r="R42" s="71" t="n"/>
    </row>
    <row r="43" ht="22" customHeight="1">
      <c r="A43" s="73" t="inlineStr">
        <is>
          <t>ส่วนเบี่ยงเบนมาตรฐาน (S.D.)</t>
        </is>
      </c>
      <c r="B43" s="74" t="n"/>
      <c r="C43" s="74" t="n"/>
      <c r="D43" s="74" t="n"/>
      <c r="E43" s="74" t="n"/>
      <c r="F43" s="75">
        <f>IFERROR(ROUND(STDEV.P(F6:F39), 2), "-")</f>
        <v/>
      </c>
      <c r="G43" s="75">
        <f>IFERROR(ROUND(STDEV.P(G6:G39), 2), "-")</f>
        <v/>
      </c>
      <c r="H43" s="75">
        <f>IFERROR(ROUND(STDEV.P(H6:H39), 2), "-")</f>
        <v/>
      </c>
      <c r="I43" s="75">
        <f>IFERROR(ROUND(STDEV.P(I6:I39), 2), "-")</f>
        <v/>
      </c>
      <c r="J43" s="75">
        <f>IFERROR(ROUND(STDEV.P(J6:J39), 2), "-")</f>
        <v/>
      </c>
      <c r="K43" s="75">
        <f>IFERROR(ROUND(STDEV.P(K6:K39), 2), "-")</f>
        <v/>
      </c>
      <c r="L43" s="75">
        <f>IFERROR(ROUND(STDEV.P(L6:L39), 2), "-")</f>
        <v/>
      </c>
      <c r="M43" s="75">
        <f>IFERROR(ROUND(STDEV.P(M6:M39), 2), "-")</f>
        <v/>
      </c>
      <c r="N43" s="75">
        <f>IFERROR(ROUND(STDEV.P(N6:N39), 2), "-")</f>
        <v/>
      </c>
      <c r="O43" s="75">
        <f>IFERROR(ROUND(STDEV.P(O6:O39), 2), "-")</f>
        <v/>
      </c>
      <c r="P43" s="75">
        <f>IFERROR(ROUND(STDEV.P(P6:P39), 2), "-")</f>
        <v/>
      </c>
      <c r="R43" s="74" t="n"/>
    </row>
  </sheetData>
  <mergeCells count="6">
    <mergeCell ref="A43:E43"/>
    <mergeCell ref="A2:R2"/>
    <mergeCell ref="A42:E42"/>
    <mergeCell ref="A41:E41"/>
    <mergeCell ref="A1:R1"/>
    <mergeCell ref="A40:E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16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12" customWidth="1" min="35" max="35"/>
    <col width="12" customWidth="1" min="36" max="36"/>
  </cols>
  <sheetData>
    <row r="1">
      <c r="A1" s="1" t="inlineStr">
        <is>
          <t>📝 รายละเอียดผลการตรวจข้อสอบรายข้อ - ห้อง 1 (18 คน)</t>
        </is>
      </c>
    </row>
    <row r="2">
      <c r="A2" s="2" t="inlineStr">
        <is>
          <t>วิชา 21909-1006 พื้นฐานการสร้างเว็บไซต์  |  ตอนที่ 1 แบบทดสอบปรนัย 30 ข้อ (ข้อละ 1 คะแนนเต็ม 30)</t>
        </is>
      </c>
    </row>
    <row r="4">
      <c r="A4" s="15" t="inlineStr">
        <is>
          <t>ข้อมูลนักศึกษา</t>
        </is>
      </c>
      <c r="B4" s="52" t="n"/>
      <c r="C4" s="52" t="n"/>
      <c r="D4" s="53" t="n"/>
      <c r="E4" s="17" t="inlineStr">
        <is>
          <t>ผลการตอบข้อสอบรายข้อ (ข้อ 1 - 30) [เฉลยกำกับด้านบน]</t>
        </is>
      </c>
      <c r="F4" s="52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52" t="n"/>
      <c r="X4" s="52" t="n"/>
      <c r="Y4" s="52" t="n"/>
      <c r="Z4" s="52" t="n"/>
      <c r="AA4" s="52" t="n"/>
      <c r="AB4" s="52" t="n"/>
      <c r="AC4" s="52" t="n"/>
      <c r="AD4" s="52" t="n"/>
      <c r="AE4" s="52" t="n"/>
      <c r="AF4" s="52" t="n"/>
      <c r="AG4" s="52" t="n"/>
      <c r="AH4" s="53" t="n"/>
      <c r="AI4" s="15" t="inlineStr">
        <is>
          <t>สรุปคะแนน</t>
        </is>
      </c>
      <c r="AJ4" s="53" t="n"/>
    </row>
    <row r="5">
      <c r="A5" s="4" t="inlineStr">
        <is>
          <t>เลขที่</t>
        </is>
      </c>
      <c r="B5" s="4" t="inlineStr">
        <is>
          <t>รหัส</t>
        </is>
      </c>
      <c r="C5" s="4" t="inlineStr">
        <is>
          <t>ชื่อ - นามสกุล</t>
        </is>
      </c>
      <c r="D5" s="4" t="inlineStr">
        <is>
          <t>ไฟล์ภาพ</t>
        </is>
      </c>
      <c r="E5" s="4" t="inlineStr">
        <is>
          <t>ข.1</t>
        </is>
      </c>
      <c r="F5" s="4" t="inlineStr">
        <is>
          <t>ข.2</t>
        </is>
      </c>
      <c r="G5" s="4" t="inlineStr">
        <is>
          <t>ข.3</t>
        </is>
      </c>
      <c r="H5" s="4" t="inlineStr">
        <is>
          <t>ข.4</t>
        </is>
      </c>
      <c r="I5" s="4" t="inlineStr">
        <is>
          <t>ข.5</t>
        </is>
      </c>
      <c r="J5" s="4" t="inlineStr">
        <is>
          <t>ข.6</t>
        </is>
      </c>
      <c r="K5" s="4" t="inlineStr">
        <is>
          <t>ข.7</t>
        </is>
      </c>
      <c r="L5" s="4" t="inlineStr">
        <is>
          <t>ข.8</t>
        </is>
      </c>
      <c r="M5" s="4" t="inlineStr">
        <is>
          <t>ข.9</t>
        </is>
      </c>
      <c r="N5" s="4" t="inlineStr">
        <is>
          <t>ข.10</t>
        </is>
      </c>
      <c r="O5" s="4" t="inlineStr">
        <is>
          <t>ข.11</t>
        </is>
      </c>
      <c r="P5" s="4" t="inlineStr">
        <is>
          <t>ข.12</t>
        </is>
      </c>
      <c r="Q5" s="4" t="inlineStr">
        <is>
          <t>ข.13</t>
        </is>
      </c>
      <c r="R5" s="4" t="inlineStr">
        <is>
          <t>ข.14</t>
        </is>
      </c>
      <c r="S5" s="4" t="inlineStr">
        <is>
          <t>ข.15</t>
        </is>
      </c>
      <c r="T5" s="4" t="inlineStr">
        <is>
          <t>ข.16</t>
        </is>
      </c>
      <c r="U5" s="4" t="inlineStr">
        <is>
          <t>ข.17</t>
        </is>
      </c>
      <c r="V5" s="4" t="inlineStr">
        <is>
          <t>ข.18</t>
        </is>
      </c>
      <c r="W5" s="4" t="inlineStr">
        <is>
          <t>ข.19</t>
        </is>
      </c>
      <c r="X5" s="4" t="inlineStr">
        <is>
          <t>ข.20</t>
        </is>
      </c>
      <c r="Y5" s="4" t="inlineStr">
        <is>
          <t>ข.21</t>
        </is>
      </c>
      <c r="Z5" s="4" t="inlineStr">
        <is>
          <t>ข.22</t>
        </is>
      </c>
      <c r="AA5" s="4" t="inlineStr">
        <is>
          <t>ข.23</t>
        </is>
      </c>
      <c r="AB5" s="4" t="inlineStr">
        <is>
          <t>ข.24</t>
        </is>
      </c>
      <c r="AC5" s="4" t="inlineStr">
        <is>
          <t>ข.25</t>
        </is>
      </c>
      <c r="AD5" s="4" t="inlineStr">
        <is>
          <t>ข.26</t>
        </is>
      </c>
      <c r="AE5" s="4" t="inlineStr">
        <is>
          <t>ข.27</t>
        </is>
      </c>
      <c r="AF5" s="4" t="inlineStr">
        <is>
          <t>ข.28</t>
        </is>
      </c>
      <c r="AG5" s="4" t="inlineStr">
        <is>
          <t>ข.29</t>
        </is>
      </c>
      <c r="AH5" s="4" t="inlineStr">
        <is>
          <t>ข.30</t>
        </is>
      </c>
      <c r="AI5" s="4" t="inlineStr">
        <is>
          <t>รวม (30)</t>
        </is>
      </c>
      <c r="AJ5" s="4" t="inlineStr">
        <is>
          <t>ร้อยละ</t>
        </is>
      </c>
    </row>
    <row r="6">
      <c r="A6" s="32" t="inlineStr">
        <is>
          <t>-</t>
        </is>
      </c>
      <c r="B6" s="32" t="inlineStr">
        <is>
          <t>KEY</t>
        </is>
      </c>
      <c r="C6" s="33" t="inlineStr">
        <is>
          <t>เฉลยคำตอบทางการ</t>
        </is>
      </c>
      <c r="D6" s="32" t="inlineStr">
        <is>
          <t>Rubric Key</t>
        </is>
      </c>
      <c r="E6" s="34" t="inlineStr">
        <is>
          <t>ข</t>
        </is>
      </c>
      <c r="F6" s="34" t="inlineStr">
        <is>
          <t>ก</t>
        </is>
      </c>
      <c r="G6" s="34" t="inlineStr">
        <is>
          <t>ค</t>
        </is>
      </c>
      <c r="H6" s="34" t="inlineStr">
        <is>
          <t>ง</t>
        </is>
      </c>
      <c r="I6" s="34" t="inlineStr">
        <is>
          <t>ข</t>
        </is>
      </c>
      <c r="J6" s="34" t="inlineStr">
        <is>
          <t>ก</t>
        </is>
      </c>
      <c r="K6" s="34" t="inlineStr">
        <is>
          <t>ค</t>
        </is>
      </c>
      <c r="L6" s="34" t="inlineStr">
        <is>
          <t>ข</t>
        </is>
      </c>
      <c r="M6" s="34" t="inlineStr">
        <is>
          <t>ง</t>
        </is>
      </c>
      <c r="N6" s="34" t="inlineStr">
        <is>
          <t>ก</t>
        </is>
      </c>
      <c r="O6" s="34" t="inlineStr">
        <is>
          <t>ค</t>
        </is>
      </c>
      <c r="P6" s="34" t="inlineStr">
        <is>
          <t>ข</t>
        </is>
      </c>
      <c r="Q6" s="34" t="inlineStr">
        <is>
          <t>ก</t>
        </is>
      </c>
      <c r="R6" s="34" t="inlineStr">
        <is>
          <t>ง</t>
        </is>
      </c>
      <c r="S6" s="34" t="inlineStr">
        <is>
          <t>ข</t>
        </is>
      </c>
      <c r="T6" s="34" t="inlineStr">
        <is>
          <t>ค</t>
        </is>
      </c>
      <c r="U6" s="34" t="inlineStr">
        <is>
          <t>ก</t>
        </is>
      </c>
      <c r="V6" s="34" t="inlineStr">
        <is>
          <t>ง</t>
        </is>
      </c>
      <c r="W6" s="34" t="inlineStr">
        <is>
          <t>ข</t>
        </is>
      </c>
      <c r="X6" s="34" t="inlineStr">
        <is>
          <t>ค</t>
        </is>
      </c>
      <c r="Y6" s="34" t="inlineStr">
        <is>
          <t>ก</t>
        </is>
      </c>
      <c r="Z6" s="34" t="inlineStr">
        <is>
          <t>ค</t>
        </is>
      </c>
      <c r="AA6" s="34" t="inlineStr">
        <is>
          <t>ง</t>
        </is>
      </c>
      <c r="AB6" s="34" t="inlineStr">
        <is>
          <t>ข</t>
        </is>
      </c>
      <c r="AC6" s="34" t="inlineStr">
        <is>
          <t>ก</t>
        </is>
      </c>
      <c r="AD6" s="34" t="inlineStr">
        <is>
          <t>ง</t>
        </is>
      </c>
      <c r="AE6" s="34" t="inlineStr">
        <is>
          <t>ค</t>
        </is>
      </c>
      <c r="AF6" s="34" t="inlineStr">
        <is>
          <t>ข</t>
        </is>
      </c>
      <c r="AG6" s="34" t="inlineStr">
        <is>
          <t>ง</t>
        </is>
      </c>
      <c r="AH6" s="34" t="inlineStr">
        <is>
          <t>ค</t>
        </is>
      </c>
      <c r="AI6" s="32" t="n">
        <v>30</v>
      </c>
      <c r="AJ6" s="32" t="inlineStr">
        <is>
          <t>100.0%</t>
        </is>
      </c>
    </row>
    <row r="7">
      <c r="A7" s="6" t="n">
        <v>1</v>
      </c>
      <c r="B7" s="6" t="inlineStr">
        <is>
          <t>001</t>
        </is>
      </c>
      <c r="C7" s="7" t="inlineStr">
        <is>
          <t>นายกฤศมน บุญเปี่ยม</t>
        </is>
      </c>
      <c r="D7" s="6" t="inlineStr">
        <is>
          <t>S__8118291_0.jpg</t>
        </is>
      </c>
      <c r="E7" s="24" t="inlineStr">
        <is>
          <t>ข</t>
        </is>
      </c>
      <c r="F7" s="35" t="inlineStr">
        <is>
          <t>ค</t>
        </is>
      </c>
      <c r="G7" s="24" t="inlineStr">
        <is>
          <t>ค</t>
        </is>
      </c>
      <c r="H7" s="24" t="inlineStr">
        <is>
          <t>ง</t>
        </is>
      </c>
      <c r="I7" s="24" t="inlineStr">
        <is>
          <t>ข</t>
        </is>
      </c>
      <c r="J7" s="24" t="inlineStr">
        <is>
          <t>ก</t>
        </is>
      </c>
      <c r="K7" s="24" t="inlineStr">
        <is>
          <t>ค</t>
        </is>
      </c>
      <c r="L7" s="24" t="inlineStr">
        <is>
          <t>ข</t>
        </is>
      </c>
      <c r="M7" s="24" t="inlineStr">
        <is>
          <t>ง</t>
        </is>
      </c>
      <c r="N7" s="24" t="inlineStr">
        <is>
          <t>ก</t>
        </is>
      </c>
      <c r="O7" s="35" t="inlineStr">
        <is>
          <t>ข</t>
        </is>
      </c>
      <c r="P7" s="35" t="inlineStr">
        <is>
          <t>ง</t>
        </is>
      </c>
      <c r="Q7" s="24" t="inlineStr">
        <is>
          <t>ก</t>
        </is>
      </c>
      <c r="R7" s="24" t="inlineStr">
        <is>
          <t>ง</t>
        </is>
      </c>
      <c r="S7" s="24" t="inlineStr">
        <is>
          <t>ข</t>
        </is>
      </c>
      <c r="T7" s="24" t="inlineStr">
        <is>
          <t>ค</t>
        </is>
      </c>
      <c r="U7" s="24" t="inlineStr">
        <is>
          <t>ก</t>
        </is>
      </c>
      <c r="V7" s="35" t="inlineStr">
        <is>
          <t>ค</t>
        </is>
      </c>
      <c r="W7" s="24" t="inlineStr">
        <is>
          <t>ข</t>
        </is>
      </c>
      <c r="X7" s="24" t="inlineStr">
        <is>
          <t>ค</t>
        </is>
      </c>
      <c r="Y7" s="24" t="inlineStr">
        <is>
          <t>ก</t>
        </is>
      </c>
      <c r="Z7" s="35" t="inlineStr">
        <is>
          <t>ก</t>
        </is>
      </c>
      <c r="AA7" s="35" t="inlineStr">
        <is>
          <t>ข</t>
        </is>
      </c>
      <c r="AB7" s="35" t="inlineStr">
        <is>
          <t>ก</t>
        </is>
      </c>
      <c r="AC7" s="24" t="inlineStr">
        <is>
          <t>ก</t>
        </is>
      </c>
      <c r="AD7" s="24" t="inlineStr">
        <is>
          <t>ง</t>
        </is>
      </c>
      <c r="AE7" s="35" t="inlineStr">
        <is>
          <t>ข</t>
        </is>
      </c>
      <c r="AF7" s="24" t="inlineStr">
        <is>
          <t>ข</t>
        </is>
      </c>
      <c r="AG7" s="35" t="inlineStr">
        <is>
          <t>ก</t>
        </is>
      </c>
      <c r="AH7" s="35" t="inlineStr">
        <is>
          <t>ง</t>
        </is>
      </c>
      <c r="AI7" s="23" t="n">
        <v>20</v>
      </c>
      <c r="AJ7" s="6" t="inlineStr">
        <is>
          <t>66.67%</t>
        </is>
      </c>
    </row>
    <row r="8">
      <c r="A8" s="6" t="n">
        <v>2</v>
      </c>
      <c r="B8" s="6" t="inlineStr">
        <is>
          <t>002</t>
        </is>
      </c>
      <c r="C8" s="7" t="inlineStr">
        <is>
          <t>เด็กชายกษธณชล การรักเรียน</t>
        </is>
      </c>
      <c r="D8" s="6" t="inlineStr">
        <is>
          <t>S__8118284_0.jpg</t>
        </is>
      </c>
      <c r="E8" s="24" t="inlineStr">
        <is>
          <t>ข</t>
        </is>
      </c>
      <c r="F8" s="24" t="inlineStr">
        <is>
          <t>ก</t>
        </is>
      </c>
      <c r="G8" s="35" t="inlineStr">
        <is>
          <t>ข</t>
        </is>
      </c>
      <c r="H8" s="24" t="inlineStr">
        <is>
          <t>ง</t>
        </is>
      </c>
      <c r="I8" s="35" t="inlineStr">
        <is>
          <t>ก</t>
        </is>
      </c>
      <c r="J8" s="35" t="inlineStr">
        <is>
          <t>ค</t>
        </is>
      </c>
      <c r="K8" s="35" t="inlineStr">
        <is>
          <t>ง</t>
        </is>
      </c>
      <c r="L8" s="35" t="inlineStr">
        <is>
          <t>ง</t>
        </is>
      </c>
      <c r="M8" s="35" t="inlineStr">
        <is>
          <t>ข</t>
        </is>
      </c>
      <c r="N8" s="35" t="inlineStr">
        <is>
          <t>ข</t>
        </is>
      </c>
      <c r="O8" s="35" t="inlineStr">
        <is>
          <t>ง</t>
        </is>
      </c>
      <c r="P8" s="35" t="inlineStr">
        <is>
          <t>ง</t>
        </is>
      </c>
      <c r="Q8" s="35" t="inlineStr">
        <is>
          <t>ข</t>
        </is>
      </c>
      <c r="R8" s="35" t="inlineStr">
        <is>
          <t>ค</t>
        </is>
      </c>
      <c r="S8" s="24" t="inlineStr">
        <is>
          <t>ข</t>
        </is>
      </c>
      <c r="T8" s="24" t="inlineStr">
        <is>
          <t>ค</t>
        </is>
      </c>
      <c r="U8" s="24" t="inlineStr">
        <is>
          <t>ก</t>
        </is>
      </c>
      <c r="V8" s="24" t="inlineStr">
        <is>
          <t>ง</t>
        </is>
      </c>
      <c r="W8" s="24" t="inlineStr">
        <is>
          <t>ข</t>
        </is>
      </c>
      <c r="X8" s="24" t="inlineStr">
        <is>
          <t>ค</t>
        </is>
      </c>
      <c r="Y8" s="35" t="inlineStr">
        <is>
          <t>ง</t>
        </is>
      </c>
      <c r="Z8" s="35" t="inlineStr">
        <is>
          <t>ง</t>
        </is>
      </c>
      <c r="AA8" s="35" t="inlineStr">
        <is>
          <t>ข</t>
        </is>
      </c>
      <c r="AB8" s="24" t="inlineStr">
        <is>
          <t>ข</t>
        </is>
      </c>
      <c r="AC8" s="35" t="inlineStr">
        <is>
          <t>ง</t>
        </is>
      </c>
      <c r="AD8" s="35" t="inlineStr">
        <is>
          <t>ก</t>
        </is>
      </c>
      <c r="AE8" s="24" t="inlineStr">
        <is>
          <t>ค</t>
        </is>
      </c>
      <c r="AF8" s="24" t="inlineStr">
        <is>
          <t>ข</t>
        </is>
      </c>
      <c r="AG8" s="24" t="inlineStr">
        <is>
          <t>ง</t>
        </is>
      </c>
      <c r="AH8" s="24" t="inlineStr">
        <is>
          <t>ค</t>
        </is>
      </c>
      <c r="AI8" s="23" t="n">
        <v>14</v>
      </c>
      <c r="AJ8" s="6" t="inlineStr">
        <is>
          <t>46.67%</t>
        </is>
      </c>
    </row>
    <row r="9">
      <c r="A9" s="6" t="n">
        <v>3</v>
      </c>
      <c r="B9" s="6" t="inlineStr">
        <is>
          <t>003</t>
        </is>
      </c>
      <c r="C9" s="7" t="inlineStr">
        <is>
          <t>นางสาวกัญญ์วรา ทองดี</t>
        </is>
      </c>
      <c r="D9" s="6" t="inlineStr">
        <is>
          <t>S__8118292_0.jpg</t>
        </is>
      </c>
      <c r="E9" s="35" t="inlineStr">
        <is>
          <t>ก</t>
        </is>
      </c>
      <c r="F9" s="24" t="inlineStr">
        <is>
          <t>ก</t>
        </is>
      </c>
      <c r="G9" s="24" t="inlineStr">
        <is>
          <t>ค</t>
        </is>
      </c>
      <c r="H9" s="24" t="inlineStr">
        <is>
          <t>ง</t>
        </is>
      </c>
      <c r="I9" s="24" t="inlineStr">
        <is>
          <t>ข</t>
        </is>
      </c>
      <c r="J9" s="24" t="inlineStr">
        <is>
          <t>ก</t>
        </is>
      </c>
      <c r="K9" s="24" t="inlineStr">
        <is>
          <t>ค</t>
        </is>
      </c>
      <c r="L9" s="24" t="inlineStr">
        <is>
          <t>ข</t>
        </is>
      </c>
      <c r="M9" s="24" t="inlineStr">
        <is>
          <t>ง</t>
        </is>
      </c>
      <c r="N9" s="24" t="inlineStr">
        <is>
          <t>ก</t>
        </is>
      </c>
      <c r="O9" s="24" t="inlineStr">
        <is>
          <t>ค</t>
        </is>
      </c>
      <c r="P9" s="24" t="inlineStr">
        <is>
          <t>ข</t>
        </is>
      </c>
      <c r="Q9" s="24" t="inlineStr">
        <is>
          <t>ก</t>
        </is>
      </c>
      <c r="R9" s="24" t="inlineStr">
        <is>
          <t>ง</t>
        </is>
      </c>
      <c r="S9" s="24" t="inlineStr">
        <is>
          <t>ข</t>
        </is>
      </c>
      <c r="T9" s="24" t="inlineStr">
        <is>
          <t>ค</t>
        </is>
      </c>
      <c r="U9" s="24" t="inlineStr">
        <is>
          <t>ก</t>
        </is>
      </c>
      <c r="V9" s="24" t="inlineStr">
        <is>
          <t>ง</t>
        </is>
      </c>
      <c r="W9" s="24" t="inlineStr">
        <is>
          <t>ข</t>
        </is>
      </c>
      <c r="X9" s="24" t="inlineStr">
        <is>
          <t>ค</t>
        </is>
      </c>
      <c r="Y9" s="24" t="inlineStr">
        <is>
          <t>ก</t>
        </is>
      </c>
      <c r="Z9" s="24" t="inlineStr">
        <is>
          <t>ค</t>
        </is>
      </c>
      <c r="AA9" s="24" t="inlineStr">
        <is>
          <t>ง</t>
        </is>
      </c>
      <c r="AB9" s="24" t="inlineStr">
        <is>
          <t>ข</t>
        </is>
      </c>
      <c r="AC9" s="35" t="inlineStr">
        <is>
          <t>ค</t>
        </is>
      </c>
      <c r="AD9" s="24" t="inlineStr">
        <is>
          <t>ง</t>
        </is>
      </c>
      <c r="AE9" s="35" t="inlineStr">
        <is>
          <t>ก</t>
        </is>
      </c>
      <c r="AF9" s="24" t="inlineStr">
        <is>
          <t>ข</t>
        </is>
      </c>
      <c r="AG9" s="35" t="inlineStr">
        <is>
          <t>ข</t>
        </is>
      </c>
      <c r="AH9" s="24" t="inlineStr">
        <is>
          <t>ค</t>
        </is>
      </c>
      <c r="AI9" s="23" t="n">
        <v>26</v>
      </c>
      <c r="AJ9" s="6" t="inlineStr">
        <is>
          <t>86.67%</t>
        </is>
      </c>
    </row>
    <row r="10">
      <c r="A10" s="6" t="n">
        <v>4</v>
      </c>
      <c r="B10" s="6" t="inlineStr">
        <is>
          <t>004</t>
        </is>
      </c>
      <c r="C10" s="7" t="inlineStr">
        <is>
          <t>นายกันธรักษ์ พานทอง</t>
        </is>
      </c>
      <c r="D10" s="6" t="inlineStr">
        <is>
          <t>S__8118288_0.jpg</t>
        </is>
      </c>
      <c r="E10" s="24" t="inlineStr">
        <is>
          <t>ข</t>
        </is>
      </c>
      <c r="F10" s="35" t="inlineStr">
        <is>
          <t>ค</t>
        </is>
      </c>
      <c r="G10" s="24" t="inlineStr">
        <is>
          <t>ค</t>
        </is>
      </c>
      <c r="H10" s="24" t="inlineStr">
        <is>
          <t>ง</t>
        </is>
      </c>
      <c r="I10" s="24" t="inlineStr">
        <is>
          <t>ข</t>
        </is>
      </c>
      <c r="J10" s="24" t="inlineStr">
        <is>
          <t>ก</t>
        </is>
      </c>
      <c r="K10" s="35" t="inlineStr">
        <is>
          <t>ง</t>
        </is>
      </c>
      <c r="L10" s="35" t="inlineStr">
        <is>
          <t>ค</t>
        </is>
      </c>
      <c r="M10" s="24" t="inlineStr">
        <is>
          <t>ง</t>
        </is>
      </c>
      <c r="N10" s="24" t="inlineStr">
        <is>
          <t>ก</t>
        </is>
      </c>
      <c r="O10" s="24" t="inlineStr">
        <is>
          <t>ค</t>
        </is>
      </c>
      <c r="P10" s="35" t="inlineStr">
        <is>
          <t>ก</t>
        </is>
      </c>
      <c r="Q10" s="24" t="inlineStr">
        <is>
          <t>ก</t>
        </is>
      </c>
      <c r="R10" s="24" t="inlineStr">
        <is>
          <t>ง</t>
        </is>
      </c>
      <c r="S10" s="24" t="inlineStr">
        <is>
          <t>ข</t>
        </is>
      </c>
      <c r="T10" s="24" t="inlineStr">
        <is>
          <t>ค</t>
        </is>
      </c>
      <c r="U10" s="24" t="inlineStr">
        <is>
          <t>ก</t>
        </is>
      </c>
      <c r="V10" s="35" t="inlineStr">
        <is>
          <t>ก</t>
        </is>
      </c>
      <c r="W10" s="24" t="inlineStr">
        <is>
          <t>ข</t>
        </is>
      </c>
      <c r="X10" s="24" t="inlineStr">
        <is>
          <t>ค</t>
        </is>
      </c>
      <c r="Y10" s="24" t="inlineStr">
        <is>
          <t>ก</t>
        </is>
      </c>
      <c r="Z10" s="24" t="inlineStr">
        <is>
          <t>ค</t>
        </is>
      </c>
      <c r="AA10" s="35" t="inlineStr">
        <is>
          <t>ก</t>
        </is>
      </c>
      <c r="AB10" s="35" t="inlineStr">
        <is>
          <t>ก</t>
        </is>
      </c>
      <c r="AC10" s="35" t="inlineStr">
        <is>
          <t>ง</t>
        </is>
      </c>
      <c r="AD10" s="24" t="inlineStr">
        <is>
          <t>ง</t>
        </is>
      </c>
      <c r="AE10" s="35" t="inlineStr">
        <is>
          <t>ง</t>
        </is>
      </c>
      <c r="AF10" s="35" t="inlineStr">
        <is>
          <t>ก</t>
        </is>
      </c>
      <c r="AG10" s="35" t="inlineStr">
        <is>
          <t>ค</t>
        </is>
      </c>
      <c r="AH10" s="35" t="inlineStr">
        <is>
          <t>ข</t>
        </is>
      </c>
      <c r="AI10" s="23" t="n">
        <v>18</v>
      </c>
      <c r="AJ10" s="6" t="inlineStr">
        <is>
          <t>60.00%</t>
        </is>
      </c>
    </row>
    <row r="11">
      <c r="A11" s="6" t="n">
        <v>5</v>
      </c>
      <c r="B11" s="6" t="inlineStr">
        <is>
          <t>005</t>
        </is>
      </c>
      <c r="C11" s="7" t="inlineStr">
        <is>
          <t>เด็กชายคุณานนต์ พิมพ์จันทร์</t>
        </is>
      </c>
      <c r="D11" s="6" t="inlineStr">
        <is>
          <t>S__8118286_0.jpg</t>
        </is>
      </c>
      <c r="E11" s="24" t="inlineStr">
        <is>
          <t>ข</t>
        </is>
      </c>
      <c r="F11" s="24" t="inlineStr">
        <is>
          <t>ก</t>
        </is>
      </c>
      <c r="G11" s="24" t="inlineStr">
        <is>
          <t>ค</t>
        </is>
      </c>
      <c r="H11" s="24" t="inlineStr">
        <is>
          <t>ง</t>
        </is>
      </c>
      <c r="I11" s="24" t="inlineStr">
        <is>
          <t>ข</t>
        </is>
      </c>
      <c r="J11" s="24" t="inlineStr">
        <is>
          <t>ก</t>
        </is>
      </c>
      <c r="K11" s="35" t="inlineStr">
        <is>
          <t>ก</t>
        </is>
      </c>
      <c r="L11" s="24" t="inlineStr">
        <is>
          <t>ข</t>
        </is>
      </c>
      <c r="M11" s="35" t="inlineStr">
        <is>
          <t>ก</t>
        </is>
      </c>
      <c r="N11" s="24" t="inlineStr">
        <is>
          <t>ก</t>
        </is>
      </c>
      <c r="O11" s="24" t="inlineStr">
        <is>
          <t>ค</t>
        </is>
      </c>
      <c r="P11" s="24" t="inlineStr">
        <is>
          <t>ข</t>
        </is>
      </c>
      <c r="Q11" s="24" t="inlineStr">
        <is>
          <t>ก</t>
        </is>
      </c>
      <c r="R11" s="24" t="inlineStr">
        <is>
          <t>ง</t>
        </is>
      </c>
      <c r="S11" s="24" t="inlineStr">
        <is>
          <t>ข</t>
        </is>
      </c>
      <c r="T11" s="24" t="inlineStr">
        <is>
          <t>ค</t>
        </is>
      </c>
      <c r="U11" s="24" t="inlineStr">
        <is>
          <t>ก</t>
        </is>
      </c>
      <c r="V11" s="24" t="inlineStr">
        <is>
          <t>ง</t>
        </is>
      </c>
      <c r="W11" s="24" t="inlineStr">
        <is>
          <t>ข</t>
        </is>
      </c>
      <c r="X11" s="24" t="inlineStr">
        <is>
          <t>ค</t>
        </is>
      </c>
      <c r="Y11" s="24" t="inlineStr">
        <is>
          <t>ก</t>
        </is>
      </c>
      <c r="Z11" s="24" t="inlineStr">
        <is>
          <t>ค</t>
        </is>
      </c>
      <c r="AA11" s="24" t="inlineStr">
        <is>
          <t>ง</t>
        </is>
      </c>
      <c r="AB11" s="24" t="inlineStr">
        <is>
          <t>ข</t>
        </is>
      </c>
      <c r="AC11" s="24" t="inlineStr">
        <is>
          <t>ก</t>
        </is>
      </c>
      <c r="AD11" s="24" t="inlineStr">
        <is>
          <t>ง</t>
        </is>
      </c>
      <c r="AE11" s="24" t="inlineStr">
        <is>
          <t>ค</t>
        </is>
      </c>
      <c r="AF11" s="24" t="inlineStr">
        <is>
          <t>ข</t>
        </is>
      </c>
      <c r="AG11" s="35" t="inlineStr">
        <is>
          <t>ก</t>
        </is>
      </c>
      <c r="AH11" s="24" t="inlineStr">
        <is>
          <t>ค</t>
        </is>
      </c>
      <c r="AI11" s="23" t="n">
        <v>27</v>
      </c>
      <c r="AJ11" s="6" t="inlineStr">
        <is>
          <t>90.00%</t>
        </is>
      </c>
    </row>
    <row r="12">
      <c r="A12" s="6" t="n">
        <v>6</v>
      </c>
      <c r="B12" s="6" t="inlineStr">
        <is>
          <t>006</t>
        </is>
      </c>
      <c r="C12" s="7" t="inlineStr">
        <is>
          <t>เด็กชายเฉลิมวงศ์ มะลิใย</t>
        </is>
      </c>
      <c r="D12" s="6" t="inlineStr">
        <is>
          <t>S__8118280_0.jpg</t>
        </is>
      </c>
      <c r="E12" s="24" t="inlineStr">
        <is>
          <t>ข</t>
        </is>
      </c>
      <c r="F12" s="24" t="inlineStr">
        <is>
          <t>ก</t>
        </is>
      </c>
      <c r="G12" s="35" t="inlineStr">
        <is>
          <t>ข</t>
        </is>
      </c>
      <c r="H12" s="24" t="inlineStr">
        <is>
          <t>ง</t>
        </is>
      </c>
      <c r="I12" s="35" t="inlineStr">
        <is>
          <t>ก</t>
        </is>
      </c>
      <c r="J12" s="24" t="inlineStr">
        <is>
          <t>ก</t>
        </is>
      </c>
      <c r="K12" s="24" t="inlineStr">
        <is>
          <t>ค</t>
        </is>
      </c>
      <c r="L12" s="24" t="inlineStr">
        <is>
          <t>ข</t>
        </is>
      </c>
      <c r="M12" s="24" t="inlineStr">
        <is>
          <t>ง</t>
        </is>
      </c>
      <c r="N12" s="24" t="inlineStr">
        <is>
          <t>ก</t>
        </is>
      </c>
      <c r="O12" s="24" t="inlineStr">
        <is>
          <t>ค</t>
        </is>
      </c>
      <c r="P12" s="35" t="inlineStr">
        <is>
          <t>ง</t>
        </is>
      </c>
      <c r="Q12" s="35" t="inlineStr">
        <is>
          <t>ง</t>
        </is>
      </c>
      <c r="R12" s="35" t="inlineStr">
        <is>
          <t>ค</t>
        </is>
      </c>
      <c r="S12" s="24" t="inlineStr">
        <is>
          <t>ข</t>
        </is>
      </c>
      <c r="T12" s="24" t="inlineStr">
        <is>
          <t>ค</t>
        </is>
      </c>
      <c r="U12" s="24" t="inlineStr">
        <is>
          <t>ก</t>
        </is>
      </c>
      <c r="V12" s="24" t="inlineStr">
        <is>
          <t>ง</t>
        </is>
      </c>
      <c r="W12" s="24" t="inlineStr">
        <is>
          <t>ข</t>
        </is>
      </c>
      <c r="X12" s="24" t="inlineStr">
        <is>
          <t>ค</t>
        </is>
      </c>
      <c r="Y12" s="24" t="inlineStr">
        <is>
          <t>ก</t>
        </is>
      </c>
      <c r="Z12" s="24" t="inlineStr">
        <is>
          <t>ค</t>
        </is>
      </c>
      <c r="AA12" s="24" t="inlineStr">
        <is>
          <t>ง</t>
        </is>
      </c>
      <c r="AB12" s="35" t="inlineStr">
        <is>
          <t>ก</t>
        </is>
      </c>
      <c r="AC12" s="24" t="inlineStr">
        <is>
          <t>ก</t>
        </is>
      </c>
      <c r="AD12" s="35" t="inlineStr">
        <is>
          <t>ข</t>
        </is>
      </c>
      <c r="AE12" s="35" t="inlineStr">
        <is>
          <t>ก</t>
        </is>
      </c>
      <c r="AF12" s="24" t="inlineStr">
        <is>
          <t>ข</t>
        </is>
      </c>
      <c r="AG12" s="24" t="inlineStr">
        <is>
          <t>ง</t>
        </is>
      </c>
      <c r="AH12" s="24" t="inlineStr">
        <is>
          <t>ค</t>
        </is>
      </c>
      <c r="AI12" s="23" t="n">
        <v>22</v>
      </c>
      <c r="AJ12" s="6" t="inlineStr">
        <is>
          <t>73.33%</t>
        </is>
      </c>
    </row>
    <row r="13">
      <c r="A13" s="6" t="n">
        <v>7</v>
      </c>
      <c r="B13" s="6" t="inlineStr">
        <is>
          <t>007</t>
        </is>
      </c>
      <c r="C13" s="7" t="inlineStr">
        <is>
          <t>นางสาวชลดา เรือนแก้ว</t>
        </is>
      </c>
      <c r="D13" s="6" t="inlineStr">
        <is>
          <t>S__8118285_0.jpg</t>
        </is>
      </c>
      <c r="E13" s="24" t="inlineStr">
        <is>
          <t>ข</t>
        </is>
      </c>
      <c r="F13" s="35" t="inlineStr">
        <is>
          <t>ง</t>
        </is>
      </c>
      <c r="G13" s="35" t="inlineStr">
        <is>
          <t>ข</t>
        </is>
      </c>
      <c r="H13" s="35" t="inlineStr">
        <is>
          <t>ก</t>
        </is>
      </c>
      <c r="I13" s="24" t="inlineStr">
        <is>
          <t>ข</t>
        </is>
      </c>
      <c r="J13" s="24" t="inlineStr">
        <is>
          <t>ก</t>
        </is>
      </c>
      <c r="K13" s="24" t="inlineStr">
        <is>
          <t>ค</t>
        </is>
      </c>
      <c r="L13" s="24" t="inlineStr">
        <is>
          <t>ข</t>
        </is>
      </c>
      <c r="M13" s="35" t="inlineStr">
        <is>
          <t>ค</t>
        </is>
      </c>
      <c r="N13" s="24" t="inlineStr">
        <is>
          <t>ก</t>
        </is>
      </c>
      <c r="O13" s="35" t="inlineStr">
        <is>
          <t>ง</t>
        </is>
      </c>
      <c r="P13" s="35" t="inlineStr">
        <is>
          <t>ง</t>
        </is>
      </c>
      <c r="Q13" s="35" t="inlineStr">
        <is>
          <t>ค</t>
        </is>
      </c>
      <c r="R13" s="35" t="inlineStr">
        <is>
          <t>ค</t>
        </is>
      </c>
      <c r="S13" s="24" t="inlineStr">
        <is>
          <t>ข</t>
        </is>
      </c>
      <c r="T13" s="24" t="inlineStr">
        <is>
          <t>ค</t>
        </is>
      </c>
      <c r="U13" s="24" t="inlineStr">
        <is>
          <t>ก</t>
        </is>
      </c>
      <c r="V13" s="35" t="inlineStr">
        <is>
          <t>ก</t>
        </is>
      </c>
      <c r="W13" s="24" t="inlineStr">
        <is>
          <t>ข</t>
        </is>
      </c>
      <c r="X13" s="24" t="inlineStr">
        <is>
          <t>ค</t>
        </is>
      </c>
      <c r="Y13" s="24" t="inlineStr">
        <is>
          <t>ก</t>
        </is>
      </c>
      <c r="Z13" s="35" t="inlineStr">
        <is>
          <t>ก</t>
        </is>
      </c>
      <c r="AA13" s="35" t="inlineStr">
        <is>
          <t>ข</t>
        </is>
      </c>
      <c r="AB13" s="35" t="inlineStr">
        <is>
          <t>ง</t>
        </is>
      </c>
      <c r="AC13" s="35" t="inlineStr">
        <is>
          <t>ง</t>
        </is>
      </c>
      <c r="AD13" s="24" t="inlineStr">
        <is>
          <t>ง</t>
        </is>
      </c>
      <c r="AE13" s="24" t="inlineStr">
        <is>
          <t>ค</t>
        </is>
      </c>
      <c r="AF13" s="35" t="inlineStr">
        <is>
          <t>ก</t>
        </is>
      </c>
      <c r="AG13" s="24" t="inlineStr">
        <is>
          <t>ง</t>
        </is>
      </c>
      <c r="AH13" s="35" t="inlineStr">
        <is>
          <t>ข</t>
        </is>
      </c>
      <c r="AI13" s="23" t="n">
        <v>15</v>
      </c>
      <c r="AJ13" s="6" t="inlineStr">
        <is>
          <t>50.00%</t>
        </is>
      </c>
    </row>
    <row r="14">
      <c r="A14" s="6" t="n">
        <v>8</v>
      </c>
      <c r="B14" s="6" t="inlineStr">
        <is>
          <t>008</t>
        </is>
      </c>
      <c r="C14" s="7" t="inlineStr">
        <is>
          <t>นายณัฐกรณ์ กองทอง</t>
        </is>
      </c>
      <c r="D14" s="6" t="inlineStr">
        <is>
          <t>ขาดสอบ</t>
        </is>
      </c>
      <c r="E14" s="27" t="inlineStr">
        <is>
          <t>-</t>
        </is>
      </c>
      <c r="F14" s="27" t="inlineStr">
        <is>
          <t>-</t>
        </is>
      </c>
      <c r="G14" s="27" t="inlineStr">
        <is>
          <t>-</t>
        </is>
      </c>
      <c r="H14" s="27" t="inlineStr">
        <is>
          <t>-</t>
        </is>
      </c>
      <c r="I14" s="27" t="inlineStr">
        <is>
          <t>-</t>
        </is>
      </c>
      <c r="J14" s="27" t="inlineStr">
        <is>
          <t>-</t>
        </is>
      </c>
      <c r="K14" s="27" t="inlineStr">
        <is>
          <t>-</t>
        </is>
      </c>
      <c r="L14" s="27" t="inlineStr">
        <is>
          <t>-</t>
        </is>
      </c>
      <c r="M14" s="27" t="inlineStr">
        <is>
          <t>-</t>
        </is>
      </c>
      <c r="N14" s="27" t="inlineStr">
        <is>
          <t>-</t>
        </is>
      </c>
      <c r="O14" s="27" t="inlineStr">
        <is>
          <t>-</t>
        </is>
      </c>
      <c r="P14" s="27" t="inlineStr">
        <is>
          <t>-</t>
        </is>
      </c>
      <c r="Q14" s="27" t="inlineStr">
        <is>
          <t>-</t>
        </is>
      </c>
      <c r="R14" s="27" t="inlineStr">
        <is>
          <t>-</t>
        </is>
      </c>
      <c r="S14" s="27" t="inlineStr">
        <is>
          <t>-</t>
        </is>
      </c>
      <c r="T14" s="27" t="inlineStr">
        <is>
          <t>-</t>
        </is>
      </c>
      <c r="U14" s="27" t="inlineStr">
        <is>
          <t>-</t>
        </is>
      </c>
      <c r="V14" s="27" t="inlineStr">
        <is>
          <t>-</t>
        </is>
      </c>
      <c r="W14" s="27" t="inlineStr">
        <is>
          <t>-</t>
        </is>
      </c>
      <c r="X14" s="27" t="inlineStr">
        <is>
          <t>-</t>
        </is>
      </c>
      <c r="Y14" s="27" t="inlineStr">
        <is>
          <t>-</t>
        </is>
      </c>
      <c r="Z14" s="27" t="inlineStr">
        <is>
          <t>-</t>
        </is>
      </c>
      <c r="AA14" s="27" t="inlineStr">
        <is>
          <t>-</t>
        </is>
      </c>
      <c r="AB14" s="27" t="inlineStr">
        <is>
          <t>-</t>
        </is>
      </c>
      <c r="AC14" s="27" t="inlineStr">
        <is>
          <t>-</t>
        </is>
      </c>
      <c r="AD14" s="27" t="inlineStr">
        <is>
          <t>-</t>
        </is>
      </c>
      <c r="AE14" s="27" t="inlineStr">
        <is>
          <t>-</t>
        </is>
      </c>
      <c r="AF14" s="27" t="inlineStr">
        <is>
          <t>-</t>
        </is>
      </c>
      <c r="AG14" s="27" t="inlineStr">
        <is>
          <t>-</t>
        </is>
      </c>
      <c r="AH14" s="27" t="inlineStr">
        <is>
          <t>-</t>
        </is>
      </c>
      <c r="AI14" s="27" t="inlineStr">
        <is>
          <t>-</t>
        </is>
      </c>
      <c r="AJ14" s="27" t="inlineStr">
        <is>
          <t>-</t>
        </is>
      </c>
    </row>
    <row r="15">
      <c r="A15" s="6" t="n">
        <v>9</v>
      </c>
      <c r="B15" s="6" t="inlineStr">
        <is>
          <t>009</t>
        </is>
      </c>
      <c r="C15" s="7" t="inlineStr">
        <is>
          <t>นายณัฐพล ทวีทรัพย์</t>
        </is>
      </c>
      <c r="D15" s="6" t="inlineStr">
        <is>
          <t>S__8118289_0.jpg</t>
        </is>
      </c>
      <c r="E15" s="35" t="inlineStr">
        <is>
          <t>ง</t>
        </is>
      </c>
      <c r="F15" s="35" t="inlineStr">
        <is>
          <t>ข</t>
        </is>
      </c>
      <c r="G15" s="24" t="inlineStr">
        <is>
          <t>ค</t>
        </is>
      </c>
      <c r="H15" s="24" t="inlineStr">
        <is>
          <t>ง</t>
        </is>
      </c>
      <c r="I15" s="24" t="inlineStr">
        <is>
          <t>ข</t>
        </is>
      </c>
      <c r="J15" s="24" t="inlineStr">
        <is>
          <t>ก</t>
        </is>
      </c>
      <c r="K15" s="35" t="inlineStr">
        <is>
          <t>ก</t>
        </is>
      </c>
      <c r="L15" s="24" t="inlineStr">
        <is>
          <t>ข</t>
        </is>
      </c>
      <c r="M15" s="24" t="inlineStr">
        <is>
          <t>ง</t>
        </is>
      </c>
      <c r="N15" s="24" t="inlineStr">
        <is>
          <t>ก</t>
        </is>
      </c>
      <c r="O15" s="35" t="inlineStr">
        <is>
          <t>ก</t>
        </is>
      </c>
      <c r="P15" s="35" t="inlineStr">
        <is>
          <t>ง</t>
        </is>
      </c>
      <c r="Q15" s="24" t="inlineStr">
        <is>
          <t>ก</t>
        </is>
      </c>
      <c r="R15" s="24" t="inlineStr">
        <is>
          <t>ง</t>
        </is>
      </c>
      <c r="S15" s="35" t="inlineStr">
        <is>
          <t>ก</t>
        </is>
      </c>
      <c r="T15" s="24" t="inlineStr">
        <is>
          <t>ค</t>
        </is>
      </c>
      <c r="U15" s="24" t="inlineStr">
        <is>
          <t>ก</t>
        </is>
      </c>
      <c r="V15" s="24" t="inlineStr">
        <is>
          <t>ง</t>
        </is>
      </c>
      <c r="W15" s="24" t="inlineStr">
        <is>
          <t>ข</t>
        </is>
      </c>
      <c r="X15" s="24" t="inlineStr">
        <is>
          <t>ค</t>
        </is>
      </c>
      <c r="Y15" s="24" t="inlineStr">
        <is>
          <t>ก</t>
        </is>
      </c>
      <c r="Z15" s="35" t="inlineStr">
        <is>
          <t>ข</t>
        </is>
      </c>
      <c r="AA15" s="35" t="inlineStr">
        <is>
          <t>ก</t>
        </is>
      </c>
      <c r="AB15" s="35" t="inlineStr">
        <is>
          <t>ค</t>
        </is>
      </c>
      <c r="AC15" s="24" t="inlineStr">
        <is>
          <t>ก</t>
        </is>
      </c>
      <c r="AD15" s="24" t="inlineStr">
        <is>
          <t>ง</t>
        </is>
      </c>
      <c r="AE15" s="35" t="inlineStr">
        <is>
          <t>ก</t>
        </is>
      </c>
      <c r="AF15" s="35" t="inlineStr">
        <is>
          <t>ก</t>
        </is>
      </c>
      <c r="AG15" s="35" t="inlineStr">
        <is>
          <t>ก</t>
        </is>
      </c>
      <c r="AH15" s="35" t="inlineStr">
        <is>
          <t>ก</t>
        </is>
      </c>
      <c r="AI15" s="23" t="n">
        <v>17</v>
      </c>
      <c r="AJ15" s="6" t="inlineStr">
        <is>
          <t>56.67%</t>
        </is>
      </c>
    </row>
    <row r="16">
      <c r="A16" s="6" t="n">
        <v>10</v>
      </c>
      <c r="B16" s="6" t="inlineStr">
        <is>
          <t>010</t>
        </is>
      </c>
      <c r="C16" s="7" t="inlineStr">
        <is>
          <t>นายต้นตระการ เพชรภู่</t>
        </is>
      </c>
      <c r="D16" s="6" t="inlineStr">
        <is>
          <t>S__8118281_0.jpg</t>
        </is>
      </c>
      <c r="E16" s="24" t="inlineStr">
        <is>
          <t>ข</t>
        </is>
      </c>
      <c r="F16" s="35" t="inlineStr">
        <is>
          <t>ค</t>
        </is>
      </c>
      <c r="G16" s="35" t="inlineStr">
        <is>
          <t>ก</t>
        </is>
      </c>
      <c r="H16" s="24" t="inlineStr">
        <is>
          <t>ง</t>
        </is>
      </c>
      <c r="I16" s="35" t="inlineStr">
        <is>
          <t>ค</t>
        </is>
      </c>
      <c r="J16" s="35" t="inlineStr">
        <is>
          <t>ข</t>
        </is>
      </c>
      <c r="K16" s="35" t="inlineStr">
        <is>
          <t>ก</t>
        </is>
      </c>
      <c r="L16" s="35" t="inlineStr">
        <is>
          <t>ก</t>
        </is>
      </c>
      <c r="M16" s="35" t="inlineStr">
        <is>
          <t>ค</t>
        </is>
      </c>
      <c r="N16" s="24" t="inlineStr">
        <is>
          <t>ก</t>
        </is>
      </c>
      <c r="O16" s="35" t="inlineStr">
        <is>
          <t>ข</t>
        </is>
      </c>
      <c r="P16" s="35" t="inlineStr">
        <is>
          <t>ค</t>
        </is>
      </c>
      <c r="Q16" s="24" t="inlineStr">
        <is>
          <t>ก</t>
        </is>
      </c>
      <c r="R16" s="35" t="inlineStr">
        <is>
          <t>ข</t>
        </is>
      </c>
      <c r="S16" s="24" t="inlineStr">
        <is>
          <t>ข</t>
        </is>
      </c>
      <c r="T16" s="35" t="inlineStr">
        <is>
          <t>ก</t>
        </is>
      </c>
      <c r="U16" s="35" t="inlineStr">
        <is>
          <t>ข</t>
        </is>
      </c>
      <c r="V16" s="35" t="inlineStr">
        <is>
          <t>ก</t>
        </is>
      </c>
      <c r="W16" s="35" t="inlineStr">
        <is>
          <t>ค</t>
        </is>
      </c>
      <c r="X16" s="35" t="inlineStr">
        <is>
          <t>ข</t>
        </is>
      </c>
      <c r="Y16" s="35" t="inlineStr">
        <is>
          <t>ง</t>
        </is>
      </c>
      <c r="Z16" s="35" t="inlineStr">
        <is>
          <t>ข</t>
        </is>
      </c>
      <c r="AA16" s="35" t="inlineStr">
        <is>
          <t>ก</t>
        </is>
      </c>
      <c r="AB16" s="35" t="inlineStr">
        <is>
          <t>ค</t>
        </is>
      </c>
      <c r="AC16" s="35" t="inlineStr">
        <is>
          <t>ข</t>
        </is>
      </c>
      <c r="AD16" s="24" t="inlineStr">
        <is>
          <t>ง</t>
        </is>
      </c>
      <c r="AE16" s="35" t="inlineStr">
        <is>
          <t>ข</t>
        </is>
      </c>
      <c r="AF16" s="35" t="inlineStr">
        <is>
          <t>ก</t>
        </is>
      </c>
      <c r="AG16" s="35" t="inlineStr">
        <is>
          <t>ค</t>
        </is>
      </c>
      <c r="AH16" s="35" t="inlineStr">
        <is>
          <t>ข</t>
        </is>
      </c>
      <c r="AI16" s="23" t="n">
        <v>6</v>
      </c>
      <c r="AJ16" s="6" t="inlineStr">
        <is>
          <t>20.00%</t>
        </is>
      </c>
    </row>
    <row r="17">
      <c r="A17" s="6" t="n">
        <v>11</v>
      </c>
      <c r="B17" s="6" t="inlineStr">
        <is>
          <t>011</t>
        </is>
      </c>
      <c r="C17" s="7" t="inlineStr">
        <is>
          <t>นายตฤณ ตาดทอง</t>
        </is>
      </c>
      <c r="D17" s="6" t="inlineStr">
        <is>
          <t>S__8118278_0.jpg</t>
        </is>
      </c>
      <c r="E17" s="35" t="inlineStr">
        <is>
          <t>ง</t>
        </is>
      </c>
      <c r="F17" s="24" t="inlineStr">
        <is>
          <t>ก</t>
        </is>
      </c>
      <c r="G17" s="24" t="inlineStr">
        <is>
          <t>ค</t>
        </is>
      </c>
      <c r="H17" s="24" t="inlineStr">
        <is>
          <t>ง</t>
        </is>
      </c>
      <c r="I17" s="24" t="inlineStr">
        <is>
          <t>ข</t>
        </is>
      </c>
      <c r="J17" s="24" t="inlineStr">
        <is>
          <t>ก</t>
        </is>
      </c>
      <c r="K17" s="35" t="inlineStr">
        <is>
          <t>ข</t>
        </is>
      </c>
      <c r="L17" s="24" t="inlineStr">
        <is>
          <t>ข</t>
        </is>
      </c>
      <c r="M17" s="24" t="inlineStr">
        <is>
          <t>ง</t>
        </is>
      </c>
      <c r="N17" s="24" t="inlineStr">
        <is>
          <t>ก</t>
        </is>
      </c>
      <c r="O17" s="35" t="inlineStr">
        <is>
          <t>ข</t>
        </is>
      </c>
      <c r="P17" s="24" t="inlineStr">
        <is>
          <t>ข</t>
        </is>
      </c>
      <c r="Q17" s="24" t="inlineStr">
        <is>
          <t>ก</t>
        </is>
      </c>
      <c r="R17" s="24" t="inlineStr">
        <is>
          <t>ง</t>
        </is>
      </c>
      <c r="S17" s="24" t="inlineStr">
        <is>
          <t>ข</t>
        </is>
      </c>
      <c r="T17" s="24" t="inlineStr">
        <is>
          <t>ค</t>
        </is>
      </c>
      <c r="U17" s="24" t="inlineStr">
        <is>
          <t>ก</t>
        </is>
      </c>
      <c r="V17" s="24" t="inlineStr">
        <is>
          <t>ง</t>
        </is>
      </c>
      <c r="W17" s="24" t="inlineStr">
        <is>
          <t>ข</t>
        </is>
      </c>
      <c r="X17" s="24" t="inlineStr">
        <is>
          <t>ค</t>
        </is>
      </c>
      <c r="Y17" s="24" t="inlineStr">
        <is>
          <t>ก</t>
        </is>
      </c>
      <c r="Z17" s="24" t="inlineStr">
        <is>
          <t>ค</t>
        </is>
      </c>
      <c r="AA17" s="24" t="inlineStr">
        <is>
          <t>ง</t>
        </is>
      </c>
      <c r="AB17" s="24" t="inlineStr">
        <is>
          <t>ข</t>
        </is>
      </c>
      <c r="AC17" s="24" t="inlineStr">
        <is>
          <t>ก</t>
        </is>
      </c>
      <c r="AD17" s="24" t="inlineStr">
        <is>
          <t>ง</t>
        </is>
      </c>
      <c r="AE17" s="24" t="inlineStr">
        <is>
          <t>ค</t>
        </is>
      </c>
      <c r="AF17" s="24" t="inlineStr">
        <is>
          <t>ข</t>
        </is>
      </c>
      <c r="AG17" s="35" t="inlineStr">
        <is>
          <t>ก</t>
        </is>
      </c>
      <c r="AH17" s="35" t="inlineStr">
        <is>
          <t>ง</t>
        </is>
      </c>
      <c r="AI17" s="23" t="n">
        <v>25</v>
      </c>
      <c r="AJ17" s="6" t="inlineStr">
        <is>
          <t>83.33%</t>
        </is>
      </c>
    </row>
    <row r="18">
      <c r="A18" s="6" t="n">
        <v>12</v>
      </c>
      <c r="B18" s="6" t="inlineStr">
        <is>
          <t>012</t>
        </is>
      </c>
      <c r="C18" s="7" t="inlineStr">
        <is>
          <t>นายธนพัฒน์ บุญเรือง</t>
        </is>
      </c>
      <c r="D18" s="6" t="inlineStr">
        <is>
          <t>S__8118283_0.jpg</t>
        </is>
      </c>
      <c r="E18" s="24" t="inlineStr">
        <is>
          <t>ข</t>
        </is>
      </c>
      <c r="F18" s="35" t="inlineStr">
        <is>
          <t>ค</t>
        </is>
      </c>
      <c r="G18" s="24" t="inlineStr">
        <is>
          <t>ค</t>
        </is>
      </c>
      <c r="H18" s="24" t="inlineStr">
        <is>
          <t>ง</t>
        </is>
      </c>
      <c r="I18" s="24" t="inlineStr">
        <is>
          <t>ข</t>
        </is>
      </c>
      <c r="J18" s="24" t="inlineStr">
        <is>
          <t>ก</t>
        </is>
      </c>
      <c r="K18" s="35" t="inlineStr">
        <is>
          <t>ง</t>
        </is>
      </c>
      <c r="L18" s="24" t="inlineStr">
        <is>
          <t>ข</t>
        </is>
      </c>
      <c r="M18" s="24" t="inlineStr">
        <is>
          <t>ง</t>
        </is>
      </c>
      <c r="N18" s="35" t="inlineStr">
        <is>
          <t>ข</t>
        </is>
      </c>
      <c r="O18" s="24" t="inlineStr">
        <is>
          <t>ค</t>
        </is>
      </c>
      <c r="P18" s="24" t="inlineStr">
        <is>
          <t>ข</t>
        </is>
      </c>
      <c r="Q18" s="24" t="inlineStr">
        <is>
          <t>ก</t>
        </is>
      </c>
      <c r="R18" s="24" t="inlineStr">
        <is>
          <t>ง</t>
        </is>
      </c>
      <c r="S18" s="24" t="inlineStr">
        <is>
          <t>ข</t>
        </is>
      </c>
      <c r="T18" s="24" t="inlineStr">
        <is>
          <t>ค</t>
        </is>
      </c>
      <c r="U18" s="24" t="inlineStr">
        <is>
          <t>ก</t>
        </is>
      </c>
      <c r="V18" s="24" t="inlineStr">
        <is>
          <t>ง</t>
        </is>
      </c>
      <c r="W18" s="35" t="inlineStr">
        <is>
          <t>ค</t>
        </is>
      </c>
      <c r="X18" s="24" t="inlineStr">
        <is>
          <t>ค</t>
        </is>
      </c>
      <c r="Y18" s="35" t="inlineStr">
        <is>
          <t>ข</t>
        </is>
      </c>
      <c r="Z18" s="35" t="inlineStr">
        <is>
          <t>ก</t>
        </is>
      </c>
      <c r="AA18" s="24" t="inlineStr">
        <is>
          <t>ง</t>
        </is>
      </c>
      <c r="AB18" s="24" t="inlineStr">
        <is>
          <t>ข</t>
        </is>
      </c>
      <c r="AC18" s="24" t="inlineStr">
        <is>
          <t>ก</t>
        </is>
      </c>
      <c r="AD18" s="24" t="inlineStr">
        <is>
          <t>ง</t>
        </is>
      </c>
      <c r="AE18" s="35" t="inlineStr">
        <is>
          <t>ข</t>
        </is>
      </c>
      <c r="AF18" s="24" t="inlineStr">
        <is>
          <t>ข</t>
        </is>
      </c>
      <c r="AG18" s="35" t="inlineStr">
        <is>
          <t>ข</t>
        </is>
      </c>
      <c r="AH18" s="24" t="inlineStr">
        <is>
          <t>ค</t>
        </is>
      </c>
      <c r="AI18" s="23" t="n">
        <v>22</v>
      </c>
      <c r="AJ18" s="6" t="inlineStr">
        <is>
          <t>73.33%</t>
        </is>
      </c>
    </row>
    <row r="19">
      <c r="A19" s="6" t="n">
        <v>13</v>
      </c>
      <c r="B19" s="6" t="inlineStr">
        <is>
          <t>013</t>
        </is>
      </c>
      <c r="C19" s="7" t="inlineStr">
        <is>
          <t>นายธีรภัทร วาสิทธิ์เทพ</t>
        </is>
      </c>
      <c r="D19" s="6" t="inlineStr">
        <is>
          <t>S__8118282_0.jpg</t>
        </is>
      </c>
      <c r="E19" s="35" t="inlineStr">
        <is>
          <t>ค</t>
        </is>
      </c>
      <c r="F19" s="35" t="inlineStr">
        <is>
          <t>ข</t>
        </is>
      </c>
      <c r="G19" s="24" t="inlineStr">
        <is>
          <t>ค</t>
        </is>
      </c>
      <c r="H19" s="24" t="inlineStr">
        <is>
          <t>ง</t>
        </is>
      </c>
      <c r="I19" s="24" t="inlineStr">
        <is>
          <t>ข</t>
        </is>
      </c>
      <c r="J19" s="35" t="inlineStr">
        <is>
          <t>ง</t>
        </is>
      </c>
      <c r="K19" s="35" t="inlineStr">
        <is>
          <t>ง</t>
        </is>
      </c>
      <c r="L19" s="35" t="inlineStr">
        <is>
          <t>ก</t>
        </is>
      </c>
      <c r="M19" s="35" t="inlineStr">
        <is>
          <t>ข</t>
        </is>
      </c>
      <c r="N19" s="24" t="inlineStr">
        <is>
          <t>ก</t>
        </is>
      </c>
      <c r="O19" s="24" t="inlineStr">
        <is>
          <t>ค</t>
        </is>
      </c>
      <c r="P19" s="35" t="inlineStr">
        <is>
          <t>ก</t>
        </is>
      </c>
      <c r="Q19" s="24" t="inlineStr">
        <is>
          <t>ก</t>
        </is>
      </c>
      <c r="R19" s="24" t="inlineStr">
        <is>
          <t>ง</t>
        </is>
      </c>
      <c r="S19" s="24" t="inlineStr">
        <is>
          <t>ข</t>
        </is>
      </c>
      <c r="T19" s="24" t="inlineStr">
        <is>
          <t>ค</t>
        </is>
      </c>
      <c r="U19" s="24" t="inlineStr">
        <is>
          <t>ก</t>
        </is>
      </c>
      <c r="V19" s="24" t="inlineStr">
        <is>
          <t>ง</t>
        </is>
      </c>
      <c r="W19" s="24" t="inlineStr">
        <is>
          <t>ข</t>
        </is>
      </c>
      <c r="X19" s="24" t="inlineStr">
        <is>
          <t>ค</t>
        </is>
      </c>
      <c r="Y19" s="24" t="inlineStr">
        <is>
          <t>ก</t>
        </is>
      </c>
      <c r="Z19" s="35" t="inlineStr">
        <is>
          <t>ข</t>
        </is>
      </c>
      <c r="AA19" s="24" t="inlineStr">
        <is>
          <t>ง</t>
        </is>
      </c>
      <c r="AB19" s="24" t="inlineStr">
        <is>
          <t>ข</t>
        </is>
      </c>
      <c r="AC19" s="35" t="inlineStr">
        <is>
          <t>ข</t>
        </is>
      </c>
      <c r="AD19" s="35" t="inlineStr">
        <is>
          <t>ก</t>
        </is>
      </c>
      <c r="AE19" s="35" t="inlineStr">
        <is>
          <t>ข</t>
        </is>
      </c>
      <c r="AF19" s="35" t="inlineStr">
        <is>
          <t>ค</t>
        </is>
      </c>
      <c r="AG19" s="35" t="inlineStr">
        <is>
          <t>ข</t>
        </is>
      </c>
      <c r="AH19" s="24" t="inlineStr">
        <is>
          <t>ค</t>
        </is>
      </c>
      <c r="AI19" s="23" t="n">
        <v>17</v>
      </c>
      <c r="AJ19" s="6" t="inlineStr">
        <is>
          <t>56.67%</t>
        </is>
      </c>
    </row>
    <row r="20">
      <c r="A20" s="6" t="n">
        <v>14</v>
      </c>
      <c r="B20" s="6" t="inlineStr">
        <is>
          <t>014</t>
        </is>
      </c>
      <c r="C20" s="7" t="inlineStr">
        <is>
          <t>นายภูเบต ควันทอง</t>
        </is>
      </c>
      <c r="D20" s="6" t="inlineStr">
        <is>
          <t>ขาดสอบ</t>
        </is>
      </c>
      <c r="E20" s="27" t="inlineStr">
        <is>
          <t>-</t>
        </is>
      </c>
      <c r="F20" s="27" t="inlineStr">
        <is>
          <t>-</t>
        </is>
      </c>
      <c r="G20" s="27" t="inlineStr">
        <is>
          <t>-</t>
        </is>
      </c>
      <c r="H20" s="27" t="inlineStr">
        <is>
          <t>-</t>
        </is>
      </c>
      <c r="I20" s="27" t="inlineStr">
        <is>
          <t>-</t>
        </is>
      </c>
      <c r="J20" s="27" t="inlineStr">
        <is>
          <t>-</t>
        </is>
      </c>
      <c r="K20" s="27" t="inlineStr">
        <is>
          <t>-</t>
        </is>
      </c>
      <c r="L20" s="27" t="inlineStr">
        <is>
          <t>-</t>
        </is>
      </c>
      <c r="M20" s="27" t="inlineStr">
        <is>
          <t>-</t>
        </is>
      </c>
      <c r="N20" s="27" t="inlineStr">
        <is>
          <t>-</t>
        </is>
      </c>
      <c r="O20" s="27" t="inlineStr">
        <is>
          <t>-</t>
        </is>
      </c>
      <c r="P20" s="27" t="inlineStr">
        <is>
          <t>-</t>
        </is>
      </c>
      <c r="Q20" s="27" t="inlineStr">
        <is>
          <t>-</t>
        </is>
      </c>
      <c r="R20" s="27" t="inlineStr">
        <is>
          <t>-</t>
        </is>
      </c>
      <c r="S20" s="27" t="inlineStr">
        <is>
          <t>-</t>
        </is>
      </c>
      <c r="T20" s="27" t="inlineStr">
        <is>
          <t>-</t>
        </is>
      </c>
      <c r="U20" s="27" t="inlineStr">
        <is>
          <t>-</t>
        </is>
      </c>
      <c r="V20" s="27" t="inlineStr">
        <is>
          <t>-</t>
        </is>
      </c>
      <c r="W20" s="27" t="inlineStr">
        <is>
          <t>-</t>
        </is>
      </c>
      <c r="X20" s="27" t="inlineStr">
        <is>
          <t>-</t>
        </is>
      </c>
      <c r="Y20" s="27" t="inlineStr">
        <is>
          <t>-</t>
        </is>
      </c>
      <c r="Z20" s="27" t="inlineStr">
        <is>
          <t>-</t>
        </is>
      </c>
      <c r="AA20" s="27" t="inlineStr">
        <is>
          <t>-</t>
        </is>
      </c>
      <c r="AB20" s="27" t="inlineStr">
        <is>
          <t>-</t>
        </is>
      </c>
      <c r="AC20" s="27" t="inlineStr">
        <is>
          <t>-</t>
        </is>
      </c>
      <c r="AD20" s="27" t="inlineStr">
        <is>
          <t>-</t>
        </is>
      </c>
      <c r="AE20" s="27" t="inlineStr">
        <is>
          <t>-</t>
        </is>
      </c>
      <c r="AF20" s="27" t="inlineStr">
        <is>
          <t>-</t>
        </is>
      </c>
      <c r="AG20" s="27" t="inlineStr">
        <is>
          <t>-</t>
        </is>
      </c>
      <c r="AH20" s="27" t="inlineStr">
        <is>
          <t>-</t>
        </is>
      </c>
      <c r="AI20" s="27" t="inlineStr">
        <is>
          <t>-</t>
        </is>
      </c>
      <c r="AJ20" s="27" t="inlineStr">
        <is>
          <t>-</t>
        </is>
      </c>
    </row>
    <row r="21">
      <c r="A21" s="6" t="n">
        <v>15</v>
      </c>
      <c r="B21" s="6" t="inlineStr">
        <is>
          <t>015</t>
        </is>
      </c>
      <c r="C21" s="7" t="inlineStr">
        <is>
          <t>นายภูวพิศิษฐ์ ใหลสกุล</t>
        </is>
      </c>
      <c r="D21" s="6" t="inlineStr">
        <is>
          <t>S__8118290_0.jpg</t>
        </is>
      </c>
      <c r="E21" s="24" t="inlineStr">
        <is>
          <t>ข</t>
        </is>
      </c>
      <c r="F21" s="24" t="inlineStr">
        <is>
          <t>ก</t>
        </is>
      </c>
      <c r="G21" s="24" t="inlineStr">
        <is>
          <t>ค</t>
        </is>
      </c>
      <c r="H21" s="24" t="inlineStr">
        <is>
          <t>ง</t>
        </is>
      </c>
      <c r="I21" s="24" t="inlineStr">
        <is>
          <t>ข</t>
        </is>
      </c>
      <c r="J21" s="24" t="inlineStr">
        <is>
          <t>ก</t>
        </is>
      </c>
      <c r="K21" s="24" t="inlineStr">
        <is>
          <t>ค</t>
        </is>
      </c>
      <c r="L21" s="24" t="inlineStr">
        <is>
          <t>ข</t>
        </is>
      </c>
      <c r="M21" s="24" t="inlineStr">
        <is>
          <t>ง</t>
        </is>
      </c>
      <c r="N21" s="24" t="inlineStr">
        <is>
          <t>ก</t>
        </is>
      </c>
      <c r="O21" s="24" t="inlineStr">
        <is>
          <t>ค</t>
        </is>
      </c>
      <c r="P21" s="35" t="inlineStr">
        <is>
          <t>ค</t>
        </is>
      </c>
      <c r="Q21" s="24" t="inlineStr">
        <is>
          <t>ก</t>
        </is>
      </c>
      <c r="R21" s="35" t="inlineStr">
        <is>
          <t>ก</t>
        </is>
      </c>
      <c r="S21" s="24" t="inlineStr">
        <is>
          <t>ข</t>
        </is>
      </c>
      <c r="T21" s="24" t="inlineStr">
        <is>
          <t>ค</t>
        </is>
      </c>
      <c r="U21" s="24" t="inlineStr">
        <is>
          <t>ก</t>
        </is>
      </c>
      <c r="V21" s="24" t="inlineStr">
        <is>
          <t>ง</t>
        </is>
      </c>
      <c r="W21" s="24" t="inlineStr">
        <is>
          <t>ข</t>
        </is>
      </c>
      <c r="X21" s="35" t="inlineStr">
        <is>
          <t>ง</t>
        </is>
      </c>
      <c r="Y21" s="24" t="inlineStr">
        <is>
          <t>ก</t>
        </is>
      </c>
      <c r="Z21" s="24" t="inlineStr">
        <is>
          <t>ค</t>
        </is>
      </c>
      <c r="AA21" s="24" t="inlineStr">
        <is>
          <t>ง</t>
        </is>
      </c>
      <c r="AB21" s="24" t="inlineStr">
        <is>
          <t>ข</t>
        </is>
      </c>
      <c r="AC21" s="24" t="inlineStr">
        <is>
          <t>ก</t>
        </is>
      </c>
      <c r="AD21" s="24" t="inlineStr">
        <is>
          <t>ง</t>
        </is>
      </c>
      <c r="AE21" s="35" t="inlineStr">
        <is>
          <t>ก</t>
        </is>
      </c>
      <c r="AF21" s="24" t="inlineStr">
        <is>
          <t>ข</t>
        </is>
      </c>
      <c r="AG21" s="24" t="inlineStr">
        <is>
          <t>ง</t>
        </is>
      </c>
      <c r="AH21" s="24" t="inlineStr">
        <is>
          <t>ค</t>
        </is>
      </c>
      <c r="AI21" s="23" t="n">
        <v>26</v>
      </c>
      <c r="AJ21" s="6" t="inlineStr">
        <is>
          <t>86.67%</t>
        </is>
      </c>
    </row>
    <row r="22">
      <c r="A22" s="6" t="n">
        <v>16</v>
      </c>
      <c r="B22" s="6" t="inlineStr">
        <is>
          <t>016</t>
        </is>
      </c>
      <c r="C22" s="7" t="inlineStr">
        <is>
          <t>นางสาวมินตา บินอามัด</t>
        </is>
      </c>
      <c r="D22" s="6" t="inlineStr">
        <is>
          <t>S__8118293_0.jpg</t>
        </is>
      </c>
      <c r="E22" s="24" t="inlineStr">
        <is>
          <t>ข</t>
        </is>
      </c>
      <c r="F22" s="35" t="inlineStr">
        <is>
          <t>ค</t>
        </is>
      </c>
      <c r="G22" s="24" t="inlineStr">
        <is>
          <t>ค</t>
        </is>
      </c>
      <c r="H22" s="35" t="inlineStr">
        <is>
          <t>ข</t>
        </is>
      </c>
      <c r="I22" s="24" t="inlineStr">
        <is>
          <t>ข</t>
        </is>
      </c>
      <c r="J22" s="24" t="inlineStr">
        <is>
          <t>ก</t>
        </is>
      </c>
      <c r="K22" s="24" t="inlineStr">
        <is>
          <t>ค</t>
        </is>
      </c>
      <c r="L22" s="35" t="inlineStr">
        <is>
          <t>ง</t>
        </is>
      </c>
      <c r="M22" s="35" t="inlineStr">
        <is>
          <t>ก</t>
        </is>
      </c>
      <c r="N22" s="35" t="inlineStr">
        <is>
          <t>ข</t>
        </is>
      </c>
      <c r="O22" s="35" t="inlineStr">
        <is>
          <t>ข</t>
        </is>
      </c>
      <c r="P22" s="35" t="inlineStr">
        <is>
          <t>ค</t>
        </is>
      </c>
      <c r="Q22" s="35" t="inlineStr">
        <is>
          <t>ข</t>
        </is>
      </c>
      <c r="R22" s="24" t="inlineStr">
        <is>
          <t>ง</t>
        </is>
      </c>
      <c r="S22" s="24" t="inlineStr">
        <is>
          <t>ข</t>
        </is>
      </c>
      <c r="T22" s="24" t="inlineStr">
        <is>
          <t>ค</t>
        </is>
      </c>
      <c r="U22" s="24" t="inlineStr">
        <is>
          <t>ก</t>
        </is>
      </c>
      <c r="V22" s="35" t="inlineStr">
        <is>
          <t>ข</t>
        </is>
      </c>
      <c r="W22" s="35" t="inlineStr">
        <is>
          <t>ค</t>
        </is>
      </c>
      <c r="X22" s="24" t="inlineStr">
        <is>
          <t>ค</t>
        </is>
      </c>
      <c r="Y22" s="35" t="inlineStr">
        <is>
          <t>ข</t>
        </is>
      </c>
      <c r="Z22" s="35" t="inlineStr">
        <is>
          <t>ก</t>
        </is>
      </c>
      <c r="AA22" s="35" t="inlineStr">
        <is>
          <t>ข</t>
        </is>
      </c>
      <c r="AB22" s="35" t="inlineStr">
        <is>
          <t>ค</t>
        </is>
      </c>
      <c r="AC22" s="35" t="inlineStr">
        <is>
          <t>ข</t>
        </is>
      </c>
      <c r="AD22" s="35" t="inlineStr">
        <is>
          <t>ก</t>
        </is>
      </c>
      <c r="AE22" s="35" t="inlineStr">
        <is>
          <t>ก</t>
        </is>
      </c>
      <c r="AF22" s="35" t="inlineStr">
        <is>
          <t>ก</t>
        </is>
      </c>
      <c r="AG22" s="35" t="inlineStr">
        <is>
          <t>ข</t>
        </is>
      </c>
      <c r="AH22" s="35" t="inlineStr">
        <is>
          <t>ก</t>
        </is>
      </c>
      <c r="AI22" s="23" t="n">
        <v>10</v>
      </c>
      <c r="AJ22" s="6" t="inlineStr">
        <is>
          <t>33.33%</t>
        </is>
      </c>
    </row>
    <row r="23">
      <c r="A23" s="6" t="n">
        <v>17</v>
      </c>
      <c r="B23" s="6" t="inlineStr">
        <is>
          <t>017</t>
        </is>
      </c>
      <c r="C23" s="7" t="inlineStr">
        <is>
          <t>นายอัรฮัม ยูนุ</t>
        </is>
      </c>
      <c r="D23" s="6" t="inlineStr">
        <is>
          <t>S__8118279_0.jpg</t>
        </is>
      </c>
      <c r="E23" s="24" t="inlineStr">
        <is>
          <t>ข</t>
        </is>
      </c>
      <c r="F23" s="24" t="inlineStr">
        <is>
          <t>ก</t>
        </is>
      </c>
      <c r="G23" s="24" t="inlineStr">
        <is>
          <t>ค</t>
        </is>
      </c>
      <c r="H23" s="24" t="inlineStr">
        <is>
          <t>ง</t>
        </is>
      </c>
      <c r="I23" s="24" t="inlineStr">
        <is>
          <t>ข</t>
        </is>
      </c>
      <c r="J23" s="24" t="inlineStr">
        <is>
          <t>ก</t>
        </is>
      </c>
      <c r="K23" s="24" t="inlineStr">
        <is>
          <t>ค</t>
        </is>
      </c>
      <c r="L23" s="24" t="inlineStr">
        <is>
          <t>ข</t>
        </is>
      </c>
      <c r="M23" s="35" t="inlineStr">
        <is>
          <t>ค</t>
        </is>
      </c>
      <c r="N23" s="24" t="inlineStr">
        <is>
          <t>ก</t>
        </is>
      </c>
      <c r="O23" s="24" t="inlineStr">
        <is>
          <t>ค</t>
        </is>
      </c>
      <c r="P23" s="35" t="inlineStr">
        <is>
          <t>ง</t>
        </is>
      </c>
      <c r="Q23" s="24" t="inlineStr">
        <is>
          <t>ก</t>
        </is>
      </c>
      <c r="R23" s="35" t="inlineStr">
        <is>
          <t>ค</t>
        </is>
      </c>
      <c r="S23" s="24" t="inlineStr">
        <is>
          <t>ข</t>
        </is>
      </c>
      <c r="T23" s="24" t="inlineStr">
        <is>
          <t>ค</t>
        </is>
      </c>
      <c r="U23" s="24" t="inlineStr">
        <is>
          <t>ก</t>
        </is>
      </c>
      <c r="V23" s="24" t="inlineStr">
        <is>
          <t>ง</t>
        </is>
      </c>
      <c r="W23" s="24" t="inlineStr">
        <is>
          <t>ข</t>
        </is>
      </c>
      <c r="X23" s="24" t="inlineStr">
        <is>
          <t>ค</t>
        </is>
      </c>
      <c r="Y23" s="24" t="inlineStr">
        <is>
          <t>ก</t>
        </is>
      </c>
      <c r="Z23" s="24" t="inlineStr">
        <is>
          <t>ค</t>
        </is>
      </c>
      <c r="AA23" s="24" t="inlineStr">
        <is>
          <t>ง</t>
        </is>
      </c>
      <c r="AB23" s="24" t="inlineStr">
        <is>
          <t>ข</t>
        </is>
      </c>
      <c r="AC23" s="24" t="inlineStr">
        <is>
          <t>ก</t>
        </is>
      </c>
      <c r="AD23" s="24" t="inlineStr">
        <is>
          <t>ง</t>
        </is>
      </c>
      <c r="AE23" s="24" t="inlineStr">
        <is>
          <t>ค</t>
        </is>
      </c>
      <c r="AF23" s="24" t="inlineStr">
        <is>
          <t>ข</t>
        </is>
      </c>
      <c r="AG23" s="24" t="inlineStr">
        <is>
          <t>ง</t>
        </is>
      </c>
      <c r="AH23" s="35" t="inlineStr">
        <is>
          <t>ก</t>
        </is>
      </c>
      <c r="AI23" s="23" t="n">
        <v>26</v>
      </c>
      <c r="AJ23" s="6" t="inlineStr">
        <is>
          <t>86.67%</t>
        </is>
      </c>
    </row>
    <row r="24">
      <c r="A24" s="6" t="n">
        <v>18</v>
      </c>
      <c r="B24" s="6" t="inlineStr">
        <is>
          <t>018</t>
        </is>
      </c>
      <c r="C24" s="7" t="inlineStr">
        <is>
          <t>นายอานนท์ณัฏฐ์ ไวพจน์</t>
        </is>
      </c>
      <c r="D24" s="6" t="inlineStr">
        <is>
          <t>S__8118277_0.jpg</t>
        </is>
      </c>
      <c r="E24" s="35" t="inlineStr">
        <is>
          <t>ง</t>
        </is>
      </c>
      <c r="F24" s="35" t="inlineStr">
        <is>
          <t>ค</t>
        </is>
      </c>
      <c r="G24" s="24" t="inlineStr">
        <is>
          <t>ค</t>
        </is>
      </c>
      <c r="H24" s="35" t="inlineStr">
        <is>
          <t>ข</t>
        </is>
      </c>
      <c r="I24" s="24" t="inlineStr">
        <is>
          <t>ข</t>
        </is>
      </c>
      <c r="J24" s="24" t="inlineStr">
        <is>
          <t>ก</t>
        </is>
      </c>
      <c r="K24" s="24" t="inlineStr">
        <is>
          <t>ค</t>
        </is>
      </c>
      <c r="L24" s="35" t="inlineStr">
        <is>
          <t>ค</t>
        </is>
      </c>
      <c r="M24" s="35" t="inlineStr">
        <is>
          <t>ก</t>
        </is>
      </c>
      <c r="N24" s="24" t="inlineStr">
        <is>
          <t>ก</t>
        </is>
      </c>
      <c r="O24" s="24" t="inlineStr">
        <is>
          <t>ค</t>
        </is>
      </c>
      <c r="P24" s="24" t="inlineStr">
        <is>
          <t>ข</t>
        </is>
      </c>
      <c r="Q24" s="35" t="inlineStr">
        <is>
          <t>ข</t>
        </is>
      </c>
      <c r="R24" s="24" t="inlineStr">
        <is>
          <t>ง</t>
        </is>
      </c>
      <c r="S24" s="24" t="inlineStr">
        <is>
          <t>ข</t>
        </is>
      </c>
      <c r="T24" s="24" t="inlineStr">
        <is>
          <t>ค</t>
        </is>
      </c>
      <c r="U24" s="24" t="inlineStr">
        <is>
          <t>ก</t>
        </is>
      </c>
      <c r="V24" s="24" t="inlineStr">
        <is>
          <t>ง</t>
        </is>
      </c>
      <c r="W24" s="24" t="inlineStr">
        <is>
          <t>ข</t>
        </is>
      </c>
      <c r="X24" s="24" t="inlineStr">
        <is>
          <t>ค</t>
        </is>
      </c>
      <c r="Y24" s="24" t="inlineStr">
        <is>
          <t>ก</t>
        </is>
      </c>
      <c r="Z24" s="35" t="inlineStr">
        <is>
          <t>ข</t>
        </is>
      </c>
      <c r="AA24" s="24" t="inlineStr">
        <is>
          <t>ง</t>
        </is>
      </c>
      <c r="AB24" s="24" t="inlineStr">
        <is>
          <t>ข</t>
        </is>
      </c>
      <c r="AC24" s="24" t="inlineStr">
        <is>
          <t>ก</t>
        </is>
      </c>
      <c r="AD24" s="35" t="inlineStr">
        <is>
          <t>ค</t>
        </is>
      </c>
      <c r="AE24" s="35" t="inlineStr">
        <is>
          <t>ก</t>
        </is>
      </c>
      <c r="AF24" s="35" t="inlineStr">
        <is>
          <t>ก</t>
        </is>
      </c>
      <c r="AG24" s="35" t="inlineStr">
        <is>
          <t>ข</t>
        </is>
      </c>
      <c r="AH24" s="35" t="inlineStr">
        <is>
          <t>ง</t>
        </is>
      </c>
      <c r="AI24" s="23" t="n">
        <v>18</v>
      </c>
      <c r="AJ24" s="6" t="inlineStr">
        <is>
          <t>60.00%</t>
        </is>
      </c>
    </row>
    <row r="25">
      <c r="A25" s="14" t="inlineStr">
        <is>
          <t>-</t>
        </is>
      </c>
      <c r="B25" s="14" t="inlineStr">
        <is>
          <t>-</t>
        </is>
      </c>
      <c r="C25" s="36" t="inlineStr">
        <is>
          <t>จำนวนคนตอบถูก (คน)</t>
        </is>
      </c>
      <c r="D25" s="14" t="inlineStr">
        <is>
          <t>-</t>
        </is>
      </c>
      <c r="E25" s="14">
        <f>COUNTIF(E7:E24, "ข")</f>
        <v/>
      </c>
      <c r="F25" s="14">
        <f>COUNTIF(F7:F24, "ก")</f>
        <v/>
      </c>
      <c r="G25" s="14">
        <f>COUNTIF(G7:G24, "ค")</f>
        <v/>
      </c>
      <c r="H25" s="14">
        <f>COUNTIF(H7:H24, "ง")</f>
        <v/>
      </c>
      <c r="I25" s="14">
        <f>COUNTIF(I7:I24, "ข")</f>
        <v/>
      </c>
      <c r="J25" s="14">
        <f>COUNTIF(J7:J24, "ก")</f>
        <v/>
      </c>
      <c r="K25" s="14">
        <f>COUNTIF(K7:K24, "ค")</f>
        <v/>
      </c>
      <c r="L25" s="14">
        <f>COUNTIF(L7:L24, "ข")</f>
        <v/>
      </c>
      <c r="M25" s="14">
        <f>COUNTIF(M7:M24, "ง")</f>
        <v/>
      </c>
      <c r="N25" s="14">
        <f>COUNTIF(N7:N24, "ก")</f>
        <v/>
      </c>
      <c r="O25" s="14">
        <f>COUNTIF(O7:O24, "ค")</f>
        <v/>
      </c>
      <c r="P25" s="14">
        <f>COUNTIF(P7:P24, "ข")</f>
        <v/>
      </c>
      <c r="Q25" s="14">
        <f>COUNTIF(Q7:Q24, "ก")</f>
        <v/>
      </c>
      <c r="R25" s="14">
        <f>COUNTIF(R7:R24, "ง")</f>
        <v/>
      </c>
      <c r="S25" s="14">
        <f>COUNTIF(S7:S24, "ข")</f>
        <v/>
      </c>
      <c r="T25" s="14">
        <f>COUNTIF(T7:T24, "ค")</f>
        <v/>
      </c>
      <c r="U25" s="14">
        <f>COUNTIF(U7:U24, "ก")</f>
        <v/>
      </c>
      <c r="V25" s="14">
        <f>COUNTIF(V7:V24, "ง")</f>
        <v/>
      </c>
      <c r="W25" s="14">
        <f>COUNTIF(W7:W24, "ข")</f>
        <v/>
      </c>
      <c r="X25" s="14">
        <f>COUNTIF(X7:X24, "ค")</f>
        <v/>
      </c>
      <c r="Y25" s="14">
        <f>COUNTIF(Y7:Y24, "ก")</f>
        <v/>
      </c>
      <c r="Z25" s="14">
        <f>COUNTIF(Z7:Z24, "ค")</f>
        <v/>
      </c>
      <c r="AA25" s="14">
        <f>COUNTIF(AA7:AA24, "ง")</f>
        <v/>
      </c>
      <c r="AB25" s="14">
        <f>COUNTIF(AB7:AB24, "ข")</f>
        <v/>
      </c>
      <c r="AC25" s="14">
        <f>COUNTIF(AC7:AC24, "ก")</f>
        <v/>
      </c>
      <c r="AD25" s="14">
        <f>COUNTIF(AD7:AD24, "ง")</f>
        <v/>
      </c>
      <c r="AE25" s="14">
        <f>COUNTIF(AE7:AE24, "ค")</f>
        <v/>
      </c>
      <c r="AF25" s="14">
        <f>COUNTIF(AF7:AF24, "ข")</f>
        <v/>
      </c>
      <c r="AG25" s="14">
        <f>COUNTIF(AG7:AG24, "ง")</f>
        <v/>
      </c>
      <c r="AH25" s="14">
        <f>COUNTIF(AH7:AH24, "ค")</f>
        <v/>
      </c>
      <c r="AI25" s="14">
        <f>ROUND(AVERAGE(AI7:AI24), 2)</f>
        <v/>
      </c>
      <c r="AJ25" s="14">
        <f>ROUND(AVERAGE(AI7:AI24)/30*100, 2) &amp; "%"</f>
        <v/>
      </c>
    </row>
  </sheetData>
  <mergeCells count="3">
    <mergeCell ref="AI4:AJ4"/>
    <mergeCell ref="E4:AH4"/>
    <mergeCell ref="A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16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12" customWidth="1" min="35" max="35"/>
    <col width="12" customWidth="1" min="36" max="36"/>
  </cols>
  <sheetData>
    <row r="1">
      <c r="A1" s="1" t="inlineStr">
        <is>
          <t>📝 รายละเอียดผลการตรวจข้อสอบรายข้อ - ห้อง 2 (16 คน)</t>
        </is>
      </c>
    </row>
    <row r="2">
      <c r="A2" s="2" t="inlineStr">
        <is>
          <t>วิชา 21909-1006 พื้นฐานการสร้างเว็บไซต์  |  ตอนที่ 1 แบบทดสอบปรนัย 30 ข้อ (ข้อละ 1 คะแนนเต็ม 30)</t>
        </is>
      </c>
    </row>
    <row r="4">
      <c r="A4" s="15" t="inlineStr">
        <is>
          <t>ข้อมูลนักศึกษา</t>
        </is>
      </c>
      <c r="B4" s="52" t="n"/>
      <c r="C4" s="52" t="n"/>
      <c r="D4" s="53" t="n"/>
      <c r="E4" s="17" t="inlineStr">
        <is>
          <t>ผลการตอบข้อสอบรายข้อ (ข้อ 1 - 30) [เฉลยกำกับด้านบน]</t>
        </is>
      </c>
      <c r="F4" s="52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52" t="n"/>
      <c r="X4" s="52" t="n"/>
      <c r="Y4" s="52" t="n"/>
      <c r="Z4" s="52" t="n"/>
      <c r="AA4" s="52" t="n"/>
      <c r="AB4" s="52" t="n"/>
      <c r="AC4" s="52" t="n"/>
      <c r="AD4" s="52" t="n"/>
      <c r="AE4" s="52" t="n"/>
      <c r="AF4" s="52" t="n"/>
      <c r="AG4" s="52" t="n"/>
      <c r="AH4" s="53" t="n"/>
      <c r="AI4" s="15" t="inlineStr">
        <is>
          <t>สรุปคะแนน</t>
        </is>
      </c>
      <c r="AJ4" s="53" t="n"/>
    </row>
    <row r="5">
      <c r="A5" s="4" t="inlineStr">
        <is>
          <t>เลขที่</t>
        </is>
      </c>
      <c r="B5" s="4" t="inlineStr">
        <is>
          <t>รหัส</t>
        </is>
      </c>
      <c r="C5" s="4" t="inlineStr">
        <is>
          <t>ชื่อ - นามสกุล</t>
        </is>
      </c>
      <c r="D5" s="4" t="inlineStr">
        <is>
          <t>ไฟล์ภาพ</t>
        </is>
      </c>
      <c r="E5" s="4" t="inlineStr">
        <is>
          <t>ข.1</t>
        </is>
      </c>
      <c r="F5" s="4" t="inlineStr">
        <is>
          <t>ข.2</t>
        </is>
      </c>
      <c r="G5" s="4" t="inlineStr">
        <is>
          <t>ข.3</t>
        </is>
      </c>
      <c r="H5" s="4" t="inlineStr">
        <is>
          <t>ข.4</t>
        </is>
      </c>
      <c r="I5" s="4" t="inlineStr">
        <is>
          <t>ข.5</t>
        </is>
      </c>
      <c r="J5" s="4" t="inlineStr">
        <is>
          <t>ข.6</t>
        </is>
      </c>
      <c r="K5" s="4" t="inlineStr">
        <is>
          <t>ข.7</t>
        </is>
      </c>
      <c r="L5" s="4" t="inlineStr">
        <is>
          <t>ข.8</t>
        </is>
      </c>
      <c r="M5" s="4" t="inlineStr">
        <is>
          <t>ข.9</t>
        </is>
      </c>
      <c r="N5" s="4" t="inlineStr">
        <is>
          <t>ข.10</t>
        </is>
      </c>
      <c r="O5" s="4" t="inlineStr">
        <is>
          <t>ข.11</t>
        </is>
      </c>
      <c r="P5" s="4" t="inlineStr">
        <is>
          <t>ข.12</t>
        </is>
      </c>
      <c r="Q5" s="4" t="inlineStr">
        <is>
          <t>ข.13</t>
        </is>
      </c>
      <c r="R5" s="4" t="inlineStr">
        <is>
          <t>ข.14</t>
        </is>
      </c>
      <c r="S5" s="4" t="inlineStr">
        <is>
          <t>ข.15</t>
        </is>
      </c>
      <c r="T5" s="4" t="inlineStr">
        <is>
          <t>ข.16</t>
        </is>
      </c>
      <c r="U5" s="4" t="inlineStr">
        <is>
          <t>ข.17</t>
        </is>
      </c>
      <c r="V5" s="4" t="inlineStr">
        <is>
          <t>ข.18</t>
        </is>
      </c>
      <c r="W5" s="4" t="inlineStr">
        <is>
          <t>ข.19</t>
        </is>
      </c>
      <c r="X5" s="4" t="inlineStr">
        <is>
          <t>ข.20</t>
        </is>
      </c>
      <c r="Y5" s="4" t="inlineStr">
        <is>
          <t>ข.21</t>
        </is>
      </c>
      <c r="Z5" s="4" t="inlineStr">
        <is>
          <t>ข.22</t>
        </is>
      </c>
      <c r="AA5" s="4" t="inlineStr">
        <is>
          <t>ข.23</t>
        </is>
      </c>
      <c r="AB5" s="4" t="inlineStr">
        <is>
          <t>ข.24</t>
        </is>
      </c>
      <c r="AC5" s="4" t="inlineStr">
        <is>
          <t>ข.25</t>
        </is>
      </c>
      <c r="AD5" s="4" t="inlineStr">
        <is>
          <t>ข.26</t>
        </is>
      </c>
      <c r="AE5" s="4" t="inlineStr">
        <is>
          <t>ข.27</t>
        </is>
      </c>
      <c r="AF5" s="4" t="inlineStr">
        <is>
          <t>ข.28</t>
        </is>
      </c>
      <c r="AG5" s="4" t="inlineStr">
        <is>
          <t>ข.29</t>
        </is>
      </c>
      <c r="AH5" s="4" t="inlineStr">
        <is>
          <t>ข.30</t>
        </is>
      </c>
      <c r="AI5" s="4" t="inlineStr">
        <is>
          <t>รวม (30)</t>
        </is>
      </c>
      <c r="AJ5" s="4" t="inlineStr">
        <is>
          <t>ร้อยละ</t>
        </is>
      </c>
    </row>
    <row r="6">
      <c r="A6" s="32" t="inlineStr">
        <is>
          <t>-</t>
        </is>
      </c>
      <c r="B6" s="32" t="inlineStr">
        <is>
          <t>KEY</t>
        </is>
      </c>
      <c r="C6" s="33" t="inlineStr">
        <is>
          <t>เฉลยคำตอบทางการ</t>
        </is>
      </c>
      <c r="D6" s="32" t="inlineStr">
        <is>
          <t>Rubric Key</t>
        </is>
      </c>
      <c r="E6" s="34" t="inlineStr">
        <is>
          <t>ข</t>
        </is>
      </c>
      <c r="F6" s="34" t="inlineStr">
        <is>
          <t>ก</t>
        </is>
      </c>
      <c r="G6" s="34" t="inlineStr">
        <is>
          <t>ค</t>
        </is>
      </c>
      <c r="H6" s="34" t="inlineStr">
        <is>
          <t>ง</t>
        </is>
      </c>
      <c r="I6" s="34" t="inlineStr">
        <is>
          <t>ข</t>
        </is>
      </c>
      <c r="J6" s="34" t="inlineStr">
        <is>
          <t>ก</t>
        </is>
      </c>
      <c r="K6" s="34" t="inlineStr">
        <is>
          <t>ค</t>
        </is>
      </c>
      <c r="L6" s="34" t="inlineStr">
        <is>
          <t>ข</t>
        </is>
      </c>
      <c r="M6" s="34" t="inlineStr">
        <is>
          <t>ง</t>
        </is>
      </c>
      <c r="N6" s="34" t="inlineStr">
        <is>
          <t>ก</t>
        </is>
      </c>
      <c r="O6" s="34" t="inlineStr">
        <is>
          <t>ค</t>
        </is>
      </c>
      <c r="P6" s="34" t="inlineStr">
        <is>
          <t>ข</t>
        </is>
      </c>
      <c r="Q6" s="34" t="inlineStr">
        <is>
          <t>ก</t>
        </is>
      </c>
      <c r="R6" s="34" t="inlineStr">
        <is>
          <t>ง</t>
        </is>
      </c>
      <c r="S6" s="34" t="inlineStr">
        <is>
          <t>ข</t>
        </is>
      </c>
      <c r="T6" s="34" t="inlineStr">
        <is>
          <t>ค</t>
        </is>
      </c>
      <c r="U6" s="34" t="inlineStr">
        <is>
          <t>ก</t>
        </is>
      </c>
      <c r="V6" s="34" t="inlineStr">
        <is>
          <t>ง</t>
        </is>
      </c>
      <c r="W6" s="34" t="inlineStr">
        <is>
          <t>ข</t>
        </is>
      </c>
      <c r="X6" s="34" t="inlineStr">
        <is>
          <t>ค</t>
        </is>
      </c>
      <c r="Y6" s="34" t="inlineStr">
        <is>
          <t>ก</t>
        </is>
      </c>
      <c r="Z6" s="34" t="inlineStr">
        <is>
          <t>ค</t>
        </is>
      </c>
      <c r="AA6" s="34" t="inlineStr">
        <is>
          <t>ง</t>
        </is>
      </c>
      <c r="AB6" s="34" t="inlineStr">
        <is>
          <t>ข</t>
        </is>
      </c>
      <c r="AC6" s="34" t="inlineStr">
        <is>
          <t>ก</t>
        </is>
      </c>
      <c r="AD6" s="34" t="inlineStr">
        <is>
          <t>ง</t>
        </is>
      </c>
      <c r="AE6" s="34" t="inlineStr">
        <is>
          <t>ค</t>
        </is>
      </c>
      <c r="AF6" s="34" t="inlineStr">
        <is>
          <t>ข</t>
        </is>
      </c>
      <c r="AG6" s="34" t="inlineStr">
        <is>
          <t>ง</t>
        </is>
      </c>
      <c r="AH6" s="34" t="inlineStr">
        <is>
          <t>ค</t>
        </is>
      </c>
      <c r="AI6" s="32" t="n">
        <v>30</v>
      </c>
      <c r="AJ6" s="32" t="inlineStr">
        <is>
          <t>100.0%</t>
        </is>
      </c>
    </row>
    <row r="7">
      <c r="A7" s="6" t="n">
        <v>1</v>
      </c>
      <c r="B7" s="6" t="inlineStr">
        <is>
          <t>020</t>
        </is>
      </c>
      <c r="C7" s="7" t="inlineStr">
        <is>
          <t>นายชุติวัต สุขมั่น</t>
        </is>
      </c>
      <c r="D7" s="6" t="inlineStr">
        <is>
          <t>S__8118296_0.jpg</t>
        </is>
      </c>
      <c r="E7" s="24" t="inlineStr">
        <is>
          <t>ข</t>
        </is>
      </c>
      <c r="F7" s="24" t="inlineStr">
        <is>
          <t>ก</t>
        </is>
      </c>
      <c r="G7" s="35" t="inlineStr">
        <is>
          <t>ง</t>
        </is>
      </c>
      <c r="H7" s="24" t="inlineStr">
        <is>
          <t>ง</t>
        </is>
      </c>
      <c r="I7" s="35" t="inlineStr">
        <is>
          <t>ก</t>
        </is>
      </c>
      <c r="J7" s="24" t="inlineStr">
        <is>
          <t>ก</t>
        </is>
      </c>
      <c r="K7" s="35" t="inlineStr">
        <is>
          <t>ข</t>
        </is>
      </c>
      <c r="L7" s="35" t="inlineStr">
        <is>
          <t>ค</t>
        </is>
      </c>
      <c r="M7" s="24" t="inlineStr">
        <is>
          <t>ง</t>
        </is>
      </c>
      <c r="N7" s="24" t="inlineStr">
        <is>
          <t>ก</t>
        </is>
      </c>
      <c r="O7" s="35" t="inlineStr">
        <is>
          <t>ง</t>
        </is>
      </c>
      <c r="P7" s="35" t="inlineStr">
        <is>
          <t>ก</t>
        </is>
      </c>
      <c r="Q7" s="24" t="inlineStr">
        <is>
          <t>ก</t>
        </is>
      </c>
      <c r="R7" s="35" t="inlineStr">
        <is>
          <t>ข</t>
        </is>
      </c>
      <c r="S7" s="35" t="inlineStr">
        <is>
          <t>ก</t>
        </is>
      </c>
      <c r="T7" s="24" t="inlineStr">
        <is>
          <t>ค</t>
        </is>
      </c>
      <c r="U7" s="35" t="inlineStr">
        <is>
          <t>ข</t>
        </is>
      </c>
      <c r="V7" s="24" t="inlineStr">
        <is>
          <t>ง</t>
        </is>
      </c>
      <c r="W7" s="35" t="inlineStr">
        <is>
          <t>ก</t>
        </is>
      </c>
      <c r="X7" s="24" t="inlineStr">
        <is>
          <t>ค</t>
        </is>
      </c>
      <c r="Y7" s="24" t="inlineStr">
        <is>
          <t>ก</t>
        </is>
      </c>
      <c r="Z7" s="24" t="inlineStr">
        <is>
          <t>ค</t>
        </is>
      </c>
      <c r="AA7" s="35" t="inlineStr">
        <is>
          <t>ข</t>
        </is>
      </c>
      <c r="AB7" s="35" t="inlineStr">
        <is>
          <t>ง</t>
        </is>
      </c>
      <c r="AC7" s="24" t="inlineStr">
        <is>
          <t>ก</t>
        </is>
      </c>
      <c r="AD7" s="35" t="inlineStr">
        <is>
          <t>ข</t>
        </is>
      </c>
      <c r="AE7" s="24" t="inlineStr">
        <is>
          <t>ค</t>
        </is>
      </c>
      <c r="AF7" s="24" t="inlineStr">
        <is>
          <t>ข</t>
        </is>
      </c>
      <c r="AG7" s="35" t="inlineStr">
        <is>
          <t>ข</t>
        </is>
      </c>
      <c r="AH7" s="35" t="inlineStr">
        <is>
          <t>ข</t>
        </is>
      </c>
      <c r="AI7" s="23" t="n">
        <v>15</v>
      </c>
      <c r="AJ7" s="6" t="inlineStr">
        <is>
          <t>50.00%</t>
        </is>
      </c>
    </row>
    <row r="8">
      <c r="A8" s="6" t="n">
        <v>2</v>
      </c>
      <c r="B8" s="6" t="inlineStr">
        <is>
          <t>021</t>
        </is>
      </c>
      <c r="C8" s="7" t="inlineStr">
        <is>
          <t>เด็กชายณัพร รัตนสุวรรณ</t>
        </is>
      </c>
      <c r="D8" s="6" t="inlineStr">
        <is>
          <t>S__8118300_0.jpg</t>
        </is>
      </c>
      <c r="E8" s="35" t="inlineStr">
        <is>
          <t>ก</t>
        </is>
      </c>
      <c r="F8" s="24" t="inlineStr">
        <is>
          <t>ก</t>
        </is>
      </c>
      <c r="G8" s="24" t="inlineStr">
        <is>
          <t>ค</t>
        </is>
      </c>
      <c r="H8" s="24" t="inlineStr">
        <is>
          <t>ง</t>
        </is>
      </c>
      <c r="I8" s="35" t="inlineStr">
        <is>
          <t>ก</t>
        </is>
      </c>
      <c r="J8" s="35" t="inlineStr">
        <is>
          <t>ค</t>
        </is>
      </c>
      <c r="K8" s="24" t="inlineStr">
        <is>
          <t>ค</t>
        </is>
      </c>
      <c r="L8" s="24" t="inlineStr">
        <is>
          <t>ข</t>
        </is>
      </c>
      <c r="M8" s="35" t="inlineStr">
        <is>
          <t>ข</t>
        </is>
      </c>
      <c r="N8" s="35" t="inlineStr">
        <is>
          <t>ข</t>
        </is>
      </c>
      <c r="O8" s="24" t="inlineStr">
        <is>
          <t>ค</t>
        </is>
      </c>
      <c r="P8" s="35" t="inlineStr">
        <is>
          <t>ค</t>
        </is>
      </c>
      <c r="Q8" s="24" t="inlineStr">
        <is>
          <t>ก</t>
        </is>
      </c>
      <c r="R8" s="24" t="inlineStr">
        <is>
          <t>ง</t>
        </is>
      </c>
      <c r="S8" s="35" t="inlineStr">
        <is>
          <t>ค</t>
        </is>
      </c>
      <c r="T8" s="35" t="inlineStr">
        <is>
          <t>ก</t>
        </is>
      </c>
      <c r="U8" s="35" t="inlineStr">
        <is>
          <t>ข</t>
        </is>
      </c>
      <c r="V8" s="35" t="inlineStr">
        <is>
          <t>ก</t>
        </is>
      </c>
      <c r="W8" s="35" t="inlineStr">
        <is>
          <t>ก</t>
        </is>
      </c>
      <c r="X8" s="35" t="inlineStr">
        <is>
          <t>ก</t>
        </is>
      </c>
      <c r="Y8" s="35" t="inlineStr">
        <is>
          <t>ง</t>
        </is>
      </c>
      <c r="Z8" s="24" t="inlineStr">
        <is>
          <t>ค</t>
        </is>
      </c>
      <c r="AA8" s="24" t="inlineStr">
        <is>
          <t>ง</t>
        </is>
      </c>
      <c r="AB8" s="24" t="inlineStr">
        <is>
          <t>ข</t>
        </is>
      </c>
      <c r="AC8" s="35" t="inlineStr">
        <is>
          <t>ค</t>
        </is>
      </c>
      <c r="AD8" s="35" t="inlineStr">
        <is>
          <t>ก</t>
        </is>
      </c>
      <c r="AE8" s="35" t="inlineStr">
        <is>
          <t>ก</t>
        </is>
      </c>
      <c r="AF8" s="35" t="inlineStr">
        <is>
          <t>ค</t>
        </is>
      </c>
      <c r="AG8" s="35" t="inlineStr">
        <is>
          <t>ค</t>
        </is>
      </c>
      <c r="AH8" s="35" t="inlineStr">
        <is>
          <t>ง</t>
        </is>
      </c>
      <c r="AI8" s="23" t="n">
        <v>11</v>
      </c>
      <c r="AJ8" s="6" t="inlineStr">
        <is>
          <t>36.67%</t>
        </is>
      </c>
    </row>
    <row r="9">
      <c r="A9" s="6" t="n">
        <v>3</v>
      </c>
      <c r="B9" s="6" t="inlineStr">
        <is>
          <t>022</t>
        </is>
      </c>
      <c r="C9" s="7" t="inlineStr">
        <is>
          <t>นายตุลยวัต ทาสีทอง</t>
        </is>
      </c>
      <c r="D9" s="6" t="inlineStr">
        <is>
          <t>S__8118304_0.jpg</t>
        </is>
      </c>
      <c r="E9" s="35" t="inlineStr">
        <is>
          <t>ก</t>
        </is>
      </c>
      <c r="F9" s="35" t="inlineStr">
        <is>
          <t>ค</t>
        </is>
      </c>
      <c r="G9" s="35" t="inlineStr">
        <is>
          <t>ก</t>
        </is>
      </c>
      <c r="H9" s="35" t="inlineStr">
        <is>
          <t>ข</t>
        </is>
      </c>
      <c r="I9" s="24" t="inlineStr">
        <is>
          <t>ข</t>
        </is>
      </c>
      <c r="J9" s="24" t="inlineStr">
        <is>
          <t>ก</t>
        </is>
      </c>
      <c r="K9" s="35" t="inlineStr">
        <is>
          <t>ข</t>
        </is>
      </c>
      <c r="L9" s="24" t="inlineStr">
        <is>
          <t>ข</t>
        </is>
      </c>
      <c r="M9" s="24" t="inlineStr">
        <is>
          <t>ง</t>
        </is>
      </c>
      <c r="N9" s="24" t="inlineStr">
        <is>
          <t>ก</t>
        </is>
      </c>
      <c r="O9" s="24" t="inlineStr">
        <is>
          <t>ค</t>
        </is>
      </c>
      <c r="P9" s="24" t="inlineStr">
        <is>
          <t>ข</t>
        </is>
      </c>
      <c r="Q9" s="24" t="inlineStr">
        <is>
          <t>ก</t>
        </is>
      </c>
      <c r="R9" s="24" t="inlineStr">
        <is>
          <t>ง</t>
        </is>
      </c>
      <c r="S9" s="24" t="inlineStr">
        <is>
          <t>ข</t>
        </is>
      </c>
      <c r="T9" s="24" t="inlineStr">
        <is>
          <t>ค</t>
        </is>
      </c>
      <c r="U9" s="24" t="inlineStr">
        <is>
          <t>ก</t>
        </is>
      </c>
      <c r="V9" s="35" t="inlineStr">
        <is>
          <t>ก</t>
        </is>
      </c>
      <c r="W9" s="35" t="inlineStr">
        <is>
          <t>ค</t>
        </is>
      </c>
      <c r="X9" s="24" t="inlineStr">
        <is>
          <t>ค</t>
        </is>
      </c>
      <c r="Y9" s="24" t="inlineStr">
        <is>
          <t>ก</t>
        </is>
      </c>
      <c r="Z9" s="35" t="inlineStr">
        <is>
          <t>ก</t>
        </is>
      </c>
      <c r="AA9" s="24" t="inlineStr">
        <is>
          <t>ง</t>
        </is>
      </c>
      <c r="AB9" s="24" t="inlineStr">
        <is>
          <t>ข</t>
        </is>
      </c>
      <c r="AC9" s="24" t="inlineStr">
        <is>
          <t>ก</t>
        </is>
      </c>
      <c r="AD9" s="24" t="inlineStr">
        <is>
          <t>ง</t>
        </is>
      </c>
      <c r="AE9" s="35" t="inlineStr">
        <is>
          <t>ก</t>
        </is>
      </c>
      <c r="AF9" s="24" t="inlineStr">
        <is>
          <t>ข</t>
        </is>
      </c>
      <c r="AG9" s="35" t="inlineStr">
        <is>
          <t>ค</t>
        </is>
      </c>
      <c r="AH9" s="35" t="inlineStr">
        <is>
          <t>ก</t>
        </is>
      </c>
      <c r="AI9" s="23" t="n">
        <v>19</v>
      </c>
      <c r="AJ9" s="6" t="inlineStr">
        <is>
          <t>63.33%</t>
        </is>
      </c>
    </row>
    <row r="10">
      <c r="A10" s="6" t="n">
        <v>4</v>
      </c>
      <c r="B10" s="6" t="inlineStr">
        <is>
          <t>023</t>
        </is>
      </c>
      <c r="C10" s="7" t="inlineStr">
        <is>
          <t>เด็กชายธนกฤต แก้วตา</t>
        </is>
      </c>
      <c r="D10" s="6" t="inlineStr">
        <is>
          <t>S__8118301_0.jpg</t>
        </is>
      </c>
      <c r="E10" s="35" t="inlineStr">
        <is>
          <t>ก</t>
        </is>
      </c>
      <c r="F10" s="35" t="inlineStr">
        <is>
          <t>ข</t>
        </is>
      </c>
      <c r="G10" s="24" t="inlineStr">
        <is>
          <t>ค</t>
        </is>
      </c>
      <c r="H10" s="24" t="inlineStr">
        <is>
          <t>ง</t>
        </is>
      </c>
      <c r="I10" s="24" t="inlineStr">
        <is>
          <t>ข</t>
        </is>
      </c>
      <c r="J10" s="24" t="inlineStr">
        <is>
          <t>ก</t>
        </is>
      </c>
      <c r="K10" s="24" t="inlineStr">
        <is>
          <t>ค</t>
        </is>
      </c>
      <c r="L10" s="24" t="inlineStr">
        <is>
          <t>ข</t>
        </is>
      </c>
      <c r="M10" s="24" t="inlineStr">
        <is>
          <t>ง</t>
        </is>
      </c>
      <c r="N10" s="24" t="inlineStr">
        <is>
          <t>ก</t>
        </is>
      </c>
      <c r="O10" s="24" t="inlineStr">
        <is>
          <t>ค</t>
        </is>
      </c>
      <c r="P10" s="35" t="inlineStr">
        <is>
          <t>ง</t>
        </is>
      </c>
      <c r="Q10" s="24" t="inlineStr">
        <is>
          <t>ก</t>
        </is>
      </c>
      <c r="R10" s="24" t="inlineStr">
        <is>
          <t>ง</t>
        </is>
      </c>
      <c r="S10" s="24" t="inlineStr">
        <is>
          <t>ข</t>
        </is>
      </c>
      <c r="T10" s="24" t="inlineStr">
        <is>
          <t>ค</t>
        </is>
      </c>
      <c r="U10" s="24" t="inlineStr">
        <is>
          <t>ก</t>
        </is>
      </c>
      <c r="V10" s="35" t="inlineStr">
        <is>
          <t>ข</t>
        </is>
      </c>
      <c r="W10" s="24" t="inlineStr">
        <is>
          <t>ข</t>
        </is>
      </c>
      <c r="X10" s="24" t="inlineStr">
        <is>
          <t>ค</t>
        </is>
      </c>
      <c r="Y10" s="24" t="inlineStr">
        <is>
          <t>ก</t>
        </is>
      </c>
      <c r="Z10" s="35" t="inlineStr">
        <is>
          <t>ก</t>
        </is>
      </c>
      <c r="AA10" s="24" t="inlineStr">
        <is>
          <t>ง</t>
        </is>
      </c>
      <c r="AB10" s="35" t="inlineStr">
        <is>
          <t>ค</t>
        </is>
      </c>
      <c r="AC10" s="24" t="inlineStr">
        <is>
          <t>ก</t>
        </is>
      </c>
      <c r="AD10" s="24" t="inlineStr">
        <is>
          <t>ง</t>
        </is>
      </c>
      <c r="AE10" s="35" t="inlineStr">
        <is>
          <t>ก</t>
        </is>
      </c>
      <c r="AF10" s="24" t="inlineStr">
        <is>
          <t>ข</t>
        </is>
      </c>
      <c r="AG10" s="24" t="inlineStr">
        <is>
          <t>ง</t>
        </is>
      </c>
      <c r="AH10" s="35" t="inlineStr">
        <is>
          <t>ง</t>
        </is>
      </c>
      <c r="AI10" s="23" t="n">
        <v>22</v>
      </c>
      <c r="AJ10" s="6" t="inlineStr">
        <is>
          <t>73.33%</t>
        </is>
      </c>
    </row>
    <row r="11">
      <c r="A11" s="6" t="n">
        <v>5</v>
      </c>
      <c r="B11" s="6" t="inlineStr">
        <is>
          <t>024</t>
        </is>
      </c>
      <c r="C11" s="7" t="inlineStr">
        <is>
          <t>นายธเนศพล กันเมือง</t>
        </is>
      </c>
      <c r="D11" s="6" t="inlineStr">
        <is>
          <t>S__8118294_0.jpg</t>
        </is>
      </c>
      <c r="E11" s="35" t="inlineStr">
        <is>
          <t>ก</t>
        </is>
      </c>
      <c r="F11" s="35" t="inlineStr">
        <is>
          <t>ค</t>
        </is>
      </c>
      <c r="G11" s="24" t="inlineStr">
        <is>
          <t>ค</t>
        </is>
      </c>
      <c r="H11" s="35" t="inlineStr">
        <is>
          <t>ก</t>
        </is>
      </c>
      <c r="I11" s="24" t="inlineStr">
        <is>
          <t>ข</t>
        </is>
      </c>
      <c r="J11" s="24" t="inlineStr">
        <is>
          <t>ก</t>
        </is>
      </c>
      <c r="K11" s="35" t="inlineStr">
        <is>
          <t>ง</t>
        </is>
      </c>
      <c r="L11" s="24" t="inlineStr">
        <is>
          <t>ข</t>
        </is>
      </c>
      <c r="M11" s="24" t="inlineStr">
        <is>
          <t>ง</t>
        </is>
      </c>
      <c r="N11" s="24" t="inlineStr">
        <is>
          <t>ก</t>
        </is>
      </c>
      <c r="O11" s="24" t="inlineStr">
        <is>
          <t>ค</t>
        </is>
      </c>
      <c r="P11" s="35" t="inlineStr">
        <is>
          <t>ง</t>
        </is>
      </c>
      <c r="Q11" s="24" t="inlineStr">
        <is>
          <t>ก</t>
        </is>
      </c>
      <c r="R11" s="24" t="inlineStr">
        <is>
          <t>ง</t>
        </is>
      </c>
      <c r="S11" s="35" t="inlineStr">
        <is>
          <t>ง</t>
        </is>
      </c>
      <c r="T11" s="24" t="inlineStr">
        <is>
          <t>ค</t>
        </is>
      </c>
      <c r="U11" s="24" t="inlineStr">
        <is>
          <t>ก</t>
        </is>
      </c>
      <c r="V11" s="35" t="inlineStr">
        <is>
          <t>ข</t>
        </is>
      </c>
      <c r="W11" s="35" t="inlineStr">
        <is>
          <t>ค</t>
        </is>
      </c>
      <c r="X11" s="24" t="inlineStr">
        <is>
          <t>ค</t>
        </is>
      </c>
      <c r="Y11" s="35" t="inlineStr">
        <is>
          <t>ง</t>
        </is>
      </c>
      <c r="Z11" s="35" t="inlineStr">
        <is>
          <t>ก</t>
        </is>
      </c>
      <c r="AA11" s="24" t="inlineStr">
        <is>
          <t>ง</t>
        </is>
      </c>
      <c r="AB11" s="35" t="inlineStr">
        <is>
          <t>ง</t>
        </is>
      </c>
      <c r="AC11" s="35" t="inlineStr">
        <is>
          <t>ข</t>
        </is>
      </c>
      <c r="AD11" s="35" t="inlineStr">
        <is>
          <t>ข</t>
        </is>
      </c>
      <c r="AE11" s="24" t="inlineStr">
        <is>
          <t>ค</t>
        </is>
      </c>
      <c r="AF11" s="24" t="inlineStr">
        <is>
          <t>ข</t>
        </is>
      </c>
      <c r="AG11" s="35" t="inlineStr">
        <is>
          <t>ก</t>
        </is>
      </c>
      <c r="AH11" s="24" t="inlineStr">
        <is>
          <t>ค</t>
        </is>
      </c>
      <c r="AI11" s="23" t="n">
        <v>16</v>
      </c>
      <c r="AJ11" s="6" t="inlineStr">
        <is>
          <t>53.33%</t>
        </is>
      </c>
    </row>
    <row r="12">
      <c r="A12" s="6" t="n">
        <v>6</v>
      </c>
      <c r="B12" s="6" t="inlineStr">
        <is>
          <t>025</t>
        </is>
      </c>
      <c r="C12" s="7" t="inlineStr">
        <is>
          <t>นายนรากร จันทร์กล่ำ</t>
        </is>
      </c>
      <c r="D12" s="6" t="inlineStr">
        <is>
          <t>ขาดสอบ</t>
        </is>
      </c>
      <c r="E12" s="27" t="inlineStr">
        <is>
          <t>-</t>
        </is>
      </c>
      <c r="F12" s="27" t="inlineStr">
        <is>
          <t>-</t>
        </is>
      </c>
      <c r="G12" s="27" t="inlineStr">
        <is>
          <t>-</t>
        </is>
      </c>
      <c r="H12" s="27" t="inlineStr">
        <is>
          <t>-</t>
        </is>
      </c>
      <c r="I12" s="27" t="inlineStr">
        <is>
          <t>-</t>
        </is>
      </c>
      <c r="J12" s="27" t="inlineStr">
        <is>
          <t>-</t>
        </is>
      </c>
      <c r="K12" s="27" t="inlineStr">
        <is>
          <t>-</t>
        </is>
      </c>
      <c r="L12" s="27" t="inlineStr">
        <is>
          <t>-</t>
        </is>
      </c>
      <c r="M12" s="27" t="inlineStr">
        <is>
          <t>-</t>
        </is>
      </c>
      <c r="N12" s="27" t="inlineStr">
        <is>
          <t>-</t>
        </is>
      </c>
      <c r="O12" s="27" t="inlineStr">
        <is>
          <t>-</t>
        </is>
      </c>
      <c r="P12" s="27" t="inlineStr">
        <is>
          <t>-</t>
        </is>
      </c>
      <c r="Q12" s="27" t="inlineStr">
        <is>
          <t>-</t>
        </is>
      </c>
      <c r="R12" s="27" t="inlineStr">
        <is>
          <t>-</t>
        </is>
      </c>
      <c r="S12" s="27" t="inlineStr">
        <is>
          <t>-</t>
        </is>
      </c>
      <c r="T12" s="27" t="inlineStr">
        <is>
          <t>-</t>
        </is>
      </c>
      <c r="U12" s="27" t="inlineStr">
        <is>
          <t>-</t>
        </is>
      </c>
      <c r="V12" s="27" t="inlineStr">
        <is>
          <t>-</t>
        </is>
      </c>
      <c r="W12" s="27" t="inlineStr">
        <is>
          <t>-</t>
        </is>
      </c>
      <c r="X12" s="27" t="inlineStr">
        <is>
          <t>-</t>
        </is>
      </c>
      <c r="Y12" s="27" t="inlineStr">
        <is>
          <t>-</t>
        </is>
      </c>
      <c r="Z12" s="27" t="inlineStr">
        <is>
          <t>-</t>
        </is>
      </c>
      <c r="AA12" s="27" t="inlineStr">
        <is>
          <t>-</t>
        </is>
      </c>
      <c r="AB12" s="27" t="inlineStr">
        <is>
          <t>-</t>
        </is>
      </c>
      <c r="AC12" s="27" t="inlineStr">
        <is>
          <t>-</t>
        </is>
      </c>
      <c r="AD12" s="27" t="inlineStr">
        <is>
          <t>-</t>
        </is>
      </c>
      <c r="AE12" s="27" t="inlineStr">
        <is>
          <t>-</t>
        </is>
      </c>
      <c r="AF12" s="27" t="inlineStr">
        <is>
          <t>-</t>
        </is>
      </c>
      <c r="AG12" s="27" t="inlineStr">
        <is>
          <t>-</t>
        </is>
      </c>
      <c r="AH12" s="27" t="inlineStr">
        <is>
          <t>-</t>
        </is>
      </c>
      <c r="AI12" s="27" t="inlineStr">
        <is>
          <t>-</t>
        </is>
      </c>
      <c r="AJ12" s="27" t="inlineStr">
        <is>
          <t>-</t>
        </is>
      </c>
    </row>
    <row r="13">
      <c r="A13" s="6" t="n">
        <v>7</v>
      </c>
      <c r="B13" s="6" t="inlineStr">
        <is>
          <t>026</t>
        </is>
      </c>
      <c r="C13" s="7" t="inlineStr">
        <is>
          <t>นายนราวิชญ์ ทองระคนธ์</t>
        </is>
      </c>
      <c r="D13" s="6" t="inlineStr">
        <is>
          <t>S__8118297_0.jpg</t>
        </is>
      </c>
      <c r="E13" s="24" t="inlineStr">
        <is>
          <t>ข</t>
        </is>
      </c>
      <c r="F13" s="24" t="inlineStr">
        <is>
          <t>ก</t>
        </is>
      </c>
      <c r="G13" s="35" t="inlineStr">
        <is>
          <t>ง</t>
        </is>
      </c>
      <c r="H13" s="24" t="inlineStr">
        <is>
          <t>ง</t>
        </is>
      </c>
      <c r="I13" s="35" t="inlineStr">
        <is>
          <t>ก</t>
        </is>
      </c>
      <c r="J13" s="24" t="inlineStr">
        <is>
          <t>ก</t>
        </is>
      </c>
      <c r="K13" s="35" t="inlineStr">
        <is>
          <t>ข</t>
        </is>
      </c>
      <c r="L13" s="35" t="inlineStr">
        <is>
          <t>ค</t>
        </is>
      </c>
      <c r="M13" s="24" t="inlineStr">
        <is>
          <t>ง</t>
        </is>
      </c>
      <c r="N13" s="24" t="inlineStr">
        <is>
          <t>ก</t>
        </is>
      </c>
      <c r="O13" s="24" t="inlineStr">
        <is>
          <t>ค</t>
        </is>
      </c>
      <c r="P13" s="35" t="inlineStr">
        <is>
          <t>ค</t>
        </is>
      </c>
      <c r="Q13" s="35" t="inlineStr">
        <is>
          <t>ง</t>
        </is>
      </c>
      <c r="R13" s="24" t="inlineStr">
        <is>
          <t>ง</t>
        </is>
      </c>
      <c r="S13" s="24" t="inlineStr">
        <is>
          <t>ข</t>
        </is>
      </c>
      <c r="T13" s="24" t="inlineStr">
        <is>
          <t>ค</t>
        </is>
      </c>
      <c r="U13" s="24" t="inlineStr">
        <is>
          <t>ก</t>
        </is>
      </c>
      <c r="V13" s="24" t="inlineStr">
        <is>
          <t>ง</t>
        </is>
      </c>
      <c r="W13" s="35" t="inlineStr">
        <is>
          <t>ค</t>
        </is>
      </c>
      <c r="X13" s="24" t="inlineStr">
        <is>
          <t>ค</t>
        </is>
      </c>
      <c r="Y13" s="24" t="inlineStr">
        <is>
          <t>ก</t>
        </is>
      </c>
      <c r="Z13" s="24" t="inlineStr">
        <is>
          <t>ค</t>
        </is>
      </c>
      <c r="AA13" s="35" t="inlineStr">
        <is>
          <t>ก</t>
        </is>
      </c>
      <c r="AB13" s="24" t="inlineStr">
        <is>
          <t>ข</t>
        </is>
      </c>
      <c r="AC13" s="35" t="inlineStr">
        <is>
          <t>ค</t>
        </is>
      </c>
      <c r="AD13" s="24" t="inlineStr">
        <is>
          <t>ง</t>
        </is>
      </c>
      <c r="AE13" s="24" t="inlineStr">
        <is>
          <t>ค</t>
        </is>
      </c>
      <c r="AF13" s="35" t="inlineStr">
        <is>
          <t>ก</t>
        </is>
      </c>
      <c r="AG13" s="35" t="inlineStr">
        <is>
          <t>ค</t>
        </is>
      </c>
      <c r="AH13" s="24" t="inlineStr">
        <is>
          <t>ค</t>
        </is>
      </c>
      <c r="AI13" s="23" t="n">
        <v>19</v>
      </c>
      <c r="AJ13" s="6" t="inlineStr">
        <is>
          <t>63.33%</t>
        </is>
      </c>
    </row>
    <row r="14">
      <c r="A14" s="6" t="n">
        <v>8</v>
      </c>
      <c r="B14" s="6" t="inlineStr">
        <is>
          <t>027</t>
        </is>
      </c>
      <c r="C14" s="7" t="inlineStr">
        <is>
          <t>นายนันทพงศ์ ช่ออุบล</t>
        </is>
      </c>
      <c r="D14" s="6" t="inlineStr">
        <is>
          <t>S__8118309.jpg</t>
        </is>
      </c>
      <c r="E14" s="35" t="inlineStr">
        <is>
          <t>ก</t>
        </is>
      </c>
      <c r="F14" s="24" t="inlineStr">
        <is>
          <t>ก</t>
        </is>
      </c>
      <c r="G14" s="24" t="inlineStr">
        <is>
          <t>ค</t>
        </is>
      </c>
      <c r="H14" s="35" t="inlineStr">
        <is>
          <t>ข</t>
        </is>
      </c>
      <c r="I14" s="35" t="inlineStr">
        <is>
          <t>ง</t>
        </is>
      </c>
      <c r="J14" s="24" t="inlineStr">
        <is>
          <t>ก</t>
        </is>
      </c>
      <c r="K14" s="35" t="inlineStr">
        <is>
          <t>ข</t>
        </is>
      </c>
      <c r="L14" s="24" t="inlineStr">
        <is>
          <t>ข</t>
        </is>
      </c>
      <c r="M14" s="24" t="inlineStr">
        <is>
          <t>ง</t>
        </is>
      </c>
      <c r="N14" s="24" t="inlineStr">
        <is>
          <t>ก</t>
        </is>
      </c>
      <c r="O14" s="35" t="inlineStr">
        <is>
          <t>ก</t>
        </is>
      </c>
      <c r="P14" s="35" t="inlineStr">
        <is>
          <t>ค</t>
        </is>
      </c>
      <c r="Q14" s="35" t="inlineStr">
        <is>
          <t>ง</t>
        </is>
      </c>
      <c r="R14" s="35" t="inlineStr">
        <is>
          <t>ก</t>
        </is>
      </c>
      <c r="S14" s="24" t="inlineStr">
        <is>
          <t>ข</t>
        </is>
      </c>
      <c r="T14" s="35" t="inlineStr">
        <is>
          <t>ง</t>
        </is>
      </c>
      <c r="U14" s="24" t="inlineStr">
        <is>
          <t>ก</t>
        </is>
      </c>
      <c r="V14" s="35" t="inlineStr">
        <is>
          <t>ก</t>
        </is>
      </c>
      <c r="W14" s="35" t="inlineStr">
        <is>
          <t>ค</t>
        </is>
      </c>
      <c r="X14" s="35" t="inlineStr">
        <is>
          <t>ข</t>
        </is>
      </c>
      <c r="Y14" s="35" t="inlineStr">
        <is>
          <t>ง</t>
        </is>
      </c>
      <c r="Z14" s="35" t="inlineStr">
        <is>
          <t>ก</t>
        </is>
      </c>
      <c r="AA14" s="35" t="inlineStr">
        <is>
          <t>ก</t>
        </is>
      </c>
      <c r="AB14" s="35" t="inlineStr">
        <is>
          <t>ค</t>
        </is>
      </c>
      <c r="AC14" s="35" t="inlineStr">
        <is>
          <t>ข</t>
        </is>
      </c>
      <c r="AD14" s="35" t="inlineStr">
        <is>
          <t>ข</t>
        </is>
      </c>
      <c r="AE14" s="35" t="inlineStr">
        <is>
          <t>ง</t>
        </is>
      </c>
      <c r="AF14" s="35" t="inlineStr">
        <is>
          <t>ก</t>
        </is>
      </c>
      <c r="AG14" s="35" t="inlineStr">
        <is>
          <t>ค</t>
        </is>
      </c>
      <c r="AH14" s="35" t="inlineStr">
        <is>
          <t>ข</t>
        </is>
      </c>
      <c r="AI14" s="23" t="n">
        <v>8</v>
      </c>
      <c r="AJ14" s="6" t="inlineStr">
        <is>
          <t>26.67%</t>
        </is>
      </c>
    </row>
    <row r="15">
      <c r="A15" s="6" t="n">
        <v>9</v>
      </c>
      <c r="B15" s="6" t="inlineStr">
        <is>
          <t>028</t>
        </is>
      </c>
      <c r="C15" s="7" t="inlineStr">
        <is>
          <t>เด็กชายพงศ์พัทธ์ โสดา</t>
        </is>
      </c>
      <c r="D15" s="6" t="inlineStr">
        <is>
          <t>S__8118305_0.jpg</t>
        </is>
      </c>
      <c r="E15" s="24" t="inlineStr">
        <is>
          <t>ข</t>
        </is>
      </c>
      <c r="F15" s="24" t="inlineStr">
        <is>
          <t>ก</t>
        </is>
      </c>
      <c r="G15" s="24" t="inlineStr">
        <is>
          <t>ค</t>
        </is>
      </c>
      <c r="H15" s="24" t="inlineStr">
        <is>
          <t>ง</t>
        </is>
      </c>
      <c r="I15" s="24" t="inlineStr">
        <is>
          <t>ข</t>
        </is>
      </c>
      <c r="J15" s="24" t="inlineStr">
        <is>
          <t>ก</t>
        </is>
      </c>
      <c r="K15" s="24" t="inlineStr">
        <is>
          <t>ค</t>
        </is>
      </c>
      <c r="L15" s="24" t="inlineStr">
        <is>
          <t>ข</t>
        </is>
      </c>
      <c r="M15" s="24" t="inlineStr">
        <is>
          <t>ง</t>
        </is>
      </c>
      <c r="N15" s="35" t="inlineStr">
        <is>
          <t>ข</t>
        </is>
      </c>
      <c r="O15" s="24" t="inlineStr">
        <is>
          <t>ค</t>
        </is>
      </c>
      <c r="P15" s="35" t="inlineStr">
        <is>
          <t>ก</t>
        </is>
      </c>
      <c r="Q15" s="24" t="inlineStr">
        <is>
          <t>ก</t>
        </is>
      </c>
      <c r="R15" s="24" t="inlineStr">
        <is>
          <t>ง</t>
        </is>
      </c>
      <c r="S15" s="24" t="inlineStr">
        <is>
          <t>ข</t>
        </is>
      </c>
      <c r="T15" s="24" t="inlineStr">
        <is>
          <t>ค</t>
        </is>
      </c>
      <c r="U15" s="24" t="inlineStr">
        <is>
          <t>ก</t>
        </is>
      </c>
      <c r="V15" s="35" t="inlineStr">
        <is>
          <t>ก</t>
        </is>
      </c>
      <c r="W15" s="24" t="inlineStr">
        <is>
          <t>ข</t>
        </is>
      </c>
      <c r="X15" s="24" t="inlineStr">
        <is>
          <t>ค</t>
        </is>
      </c>
      <c r="Y15" s="35" t="inlineStr">
        <is>
          <t>ง</t>
        </is>
      </c>
      <c r="Z15" s="35" t="inlineStr">
        <is>
          <t>ข</t>
        </is>
      </c>
      <c r="AA15" s="35" t="inlineStr">
        <is>
          <t>ก</t>
        </is>
      </c>
      <c r="AB15" s="35" t="inlineStr">
        <is>
          <t>ค</t>
        </is>
      </c>
      <c r="AC15" s="24" t="inlineStr">
        <is>
          <t>ก</t>
        </is>
      </c>
      <c r="AD15" s="24" t="inlineStr">
        <is>
          <t>ง</t>
        </is>
      </c>
      <c r="AE15" s="35" t="inlineStr">
        <is>
          <t>ก</t>
        </is>
      </c>
      <c r="AF15" s="24" t="inlineStr">
        <is>
          <t>ข</t>
        </is>
      </c>
      <c r="AG15" s="24" t="inlineStr">
        <is>
          <t>ง</t>
        </is>
      </c>
      <c r="AH15" s="24" t="inlineStr">
        <is>
          <t>ค</t>
        </is>
      </c>
      <c r="AI15" s="23" t="n">
        <v>22</v>
      </c>
      <c r="AJ15" s="6" t="inlineStr">
        <is>
          <t>73.33%</t>
        </is>
      </c>
    </row>
    <row r="16">
      <c r="A16" s="6" t="n">
        <v>10</v>
      </c>
      <c r="B16" s="6" t="inlineStr">
        <is>
          <t>029</t>
        </is>
      </c>
      <c r="C16" s="7" t="inlineStr">
        <is>
          <t>นายภูธเรศ อินทโชติ</t>
        </is>
      </c>
      <c r="D16" s="6" t="inlineStr">
        <is>
          <t>S__8118306_0.jpg</t>
        </is>
      </c>
      <c r="E16" s="35" t="inlineStr">
        <is>
          <t>ง</t>
        </is>
      </c>
      <c r="F16" s="24" t="inlineStr">
        <is>
          <t>ก</t>
        </is>
      </c>
      <c r="G16" s="24" t="inlineStr">
        <is>
          <t>ค</t>
        </is>
      </c>
      <c r="H16" s="24" t="inlineStr">
        <is>
          <t>ง</t>
        </is>
      </c>
      <c r="I16" s="35" t="inlineStr">
        <is>
          <t>ก</t>
        </is>
      </c>
      <c r="J16" s="24" t="inlineStr">
        <is>
          <t>ก</t>
        </is>
      </c>
      <c r="K16" s="35" t="inlineStr">
        <is>
          <t>ง</t>
        </is>
      </c>
      <c r="L16" s="24" t="inlineStr">
        <is>
          <t>ข</t>
        </is>
      </c>
      <c r="M16" s="24" t="inlineStr">
        <is>
          <t>ง</t>
        </is>
      </c>
      <c r="N16" s="24" t="inlineStr">
        <is>
          <t>ก</t>
        </is>
      </c>
      <c r="O16" s="24" t="inlineStr">
        <is>
          <t>ค</t>
        </is>
      </c>
      <c r="P16" s="35" t="inlineStr">
        <is>
          <t>ง</t>
        </is>
      </c>
      <c r="Q16" s="24" t="inlineStr">
        <is>
          <t>ก</t>
        </is>
      </c>
      <c r="R16" s="24" t="inlineStr">
        <is>
          <t>ง</t>
        </is>
      </c>
      <c r="S16" s="24" t="inlineStr">
        <is>
          <t>ข</t>
        </is>
      </c>
      <c r="T16" s="24" t="inlineStr">
        <is>
          <t>ค</t>
        </is>
      </c>
      <c r="U16" s="24" t="inlineStr">
        <is>
          <t>ก</t>
        </is>
      </c>
      <c r="V16" s="35" t="inlineStr">
        <is>
          <t>ข</t>
        </is>
      </c>
      <c r="W16" s="35" t="inlineStr">
        <is>
          <t>ก</t>
        </is>
      </c>
      <c r="X16" s="24" t="inlineStr">
        <is>
          <t>ค</t>
        </is>
      </c>
      <c r="Y16" s="35" t="inlineStr">
        <is>
          <t>ง</t>
        </is>
      </c>
      <c r="Z16" s="35" t="inlineStr">
        <is>
          <t>ง</t>
        </is>
      </c>
      <c r="AA16" s="24" t="inlineStr">
        <is>
          <t>ง</t>
        </is>
      </c>
      <c r="AB16" s="35" t="inlineStr">
        <is>
          <t>ค</t>
        </is>
      </c>
      <c r="AC16" s="35" t="inlineStr">
        <is>
          <t>ง</t>
        </is>
      </c>
      <c r="AD16" s="24" t="inlineStr">
        <is>
          <t>ง</t>
        </is>
      </c>
      <c r="AE16" s="35" t="inlineStr">
        <is>
          <t>ง</t>
        </is>
      </c>
      <c r="AF16" s="24" t="inlineStr">
        <is>
          <t>ข</t>
        </is>
      </c>
      <c r="AG16" s="35" t="inlineStr">
        <is>
          <t>ก</t>
        </is>
      </c>
      <c r="AH16" s="24" t="inlineStr">
        <is>
          <t>ค</t>
        </is>
      </c>
      <c r="AI16" s="23" t="n">
        <v>18</v>
      </c>
      <c r="AJ16" s="6" t="inlineStr">
        <is>
          <t>60.00%</t>
        </is>
      </c>
    </row>
    <row r="17">
      <c r="A17" s="6" t="n">
        <v>11</v>
      </c>
      <c r="B17" s="6" t="inlineStr">
        <is>
          <t>030</t>
        </is>
      </c>
      <c r="C17" s="7" t="inlineStr">
        <is>
          <t>เด็กหญิงวราภรณ์ มั่นคง</t>
        </is>
      </c>
      <c r="D17" s="6" t="inlineStr">
        <is>
          <t>S__8118307_0.jpg</t>
        </is>
      </c>
      <c r="E17" s="35" t="inlineStr">
        <is>
          <t>ก</t>
        </is>
      </c>
      <c r="F17" s="35" t="inlineStr">
        <is>
          <t>ข</t>
        </is>
      </c>
      <c r="G17" s="24" t="inlineStr">
        <is>
          <t>ค</t>
        </is>
      </c>
      <c r="H17" s="24" t="inlineStr">
        <is>
          <t>ง</t>
        </is>
      </c>
      <c r="I17" s="24" t="inlineStr">
        <is>
          <t>ข</t>
        </is>
      </c>
      <c r="J17" s="24" t="inlineStr">
        <is>
          <t>ก</t>
        </is>
      </c>
      <c r="K17" s="35" t="inlineStr">
        <is>
          <t>ง</t>
        </is>
      </c>
      <c r="L17" s="24" t="inlineStr">
        <is>
          <t>ข</t>
        </is>
      </c>
      <c r="M17" s="35" t="inlineStr">
        <is>
          <t>ค</t>
        </is>
      </c>
      <c r="N17" s="35" t="inlineStr">
        <is>
          <t>ง</t>
        </is>
      </c>
      <c r="O17" s="35" t="inlineStr">
        <is>
          <t>ง</t>
        </is>
      </c>
      <c r="P17" s="35" t="inlineStr">
        <is>
          <t>ก</t>
        </is>
      </c>
      <c r="Q17" s="35" t="inlineStr">
        <is>
          <t>ข</t>
        </is>
      </c>
      <c r="R17" s="35" t="inlineStr">
        <is>
          <t>ค</t>
        </is>
      </c>
      <c r="S17" s="24" t="inlineStr">
        <is>
          <t>ข</t>
        </is>
      </c>
      <c r="T17" s="24" t="inlineStr">
        <is>
          <t>ค</t>
        </is>
      </c>
      <c r="U17" s="24" t="inlineStr">
        <is>
          <t>ก</t>
        </is>
      </c>
      <c r="V17" s="35" t="inlineStr">
        <is>
          <t>ค</t>
        </is>
      </c>
      <c r="W17" s="24" t="inlineStr">
        <is>
          <t>ข</t>
        </is>
      </c>
      <c r="X17" s="24" t="inlineStr">
        <is>
          <t>ค</t>
        </is>
      </c>
      <c r="Y17" s="24" t="inlineStr">
        <is>
          <t>ก</t>
        </is>
      </c>
      <c r="Z17" s="35" t="inlineStr">
        <is>
          <t>ง</t>
        </is>
      </c>
      <c r="AA17" s="35" t="inlineStr">
        <is>
          <t>ข</t>
        </is>
      </c>
      <c r="AB17" s="35" t="inlineStr">
        <is>
          <t>ก</t>
        </is>
      </c>
      <c r="AC17" s="35" t="inlineStr">
        <is>
          <t>ง</t>
        </is>
      </c>
      <c r="AD17" s="35" t="inlineStr">
        <is>
          <t>ก</t>
        </is>
      </c>
      <c r="AE17" s="35" t="inlineStr">
        <is>
          <t>ก</t>
        </is>
      </c>
      <c r="AF17" s="24" t="inlineStr">
        <is>
          <t>ข</t>
        </is>
      </c>
      <c r="AG17" s="35" t="inlineStr">
        <is>
          <t>ค</t>
        </is>
      </c>
      <c r="AH17" s="35" t="inlineStr">
        <is>
          <t>ง</t>
        </is>
      </c>
      <c r="AI17" s="23" t="n">
        <v>12</v>
      </c>
      <c r="AJ17" s="6" t="inlineStr">
        <is>
          <t>40.00%</t>
        </is>
      </c>
    </row>
    <row r="18">
      <c r="A18" s="6" t="n">
        <v>12</v>
      </c>
      <c r="B18" s="6" t="inlineStr">
        <is>
          <t>031</t>
        </is>
      </c>
      <c r="C18" s="7" t="inlineStr">
        <is>
          <t>นายวีรวัฒน์ วงษ์ทิพย์</t>
        </is>
      </c>
      <c r="D18" s="6" t="inlineStr">
        <is>
          <t>S__8118295_0.jpg</t>
        </is>
      </c>
      <c r="E18" s="35" t="inlineStr">
        <is>
          <t>ก</t>
        </is>
      </c>
      <c r="F18" s="24" t="inlineStr">
        <is>
          <t>ก</t>
        </is>
      </c>
      <c r="G18" s="24" t="inlineStr">
        <is>
          <t>ค</t>
        </is>
      </c>
      <c r="H18" s="24" t="inlineStr">
        <is>
          <t>ง</t>
        </is>
      </c>
      <c r="I18" s="35" t="inlineStr">
        <is>
          <t>ก</t>
        </is>
      </c>
      <c r="J18" s="24" t="inlineStr">
        <is>
          <t>ก</t>
        </is>
      </c>
      <c r="K18" s="24" t="inlineStr">
        <is>
          <t>ค</t>
        </is>
      </c>
      <c r="L18" s="24" t="inlineStr">
        <is>
          <t>ข</t>
        </is>
      </c>
      <c r="M18" s="35" t="inlineStr">
        <is>
          <t>ข</t>
        </is>
      </c>
      <c r="N18" s="35" t="inlineStr">
        <is>
          <t>ง</t>
        </is>
      </c>
      <c r="O18" s="35" t="inlineStr">
        <is>
          <t>ก</t>
        </is>
      </c>
      <c r="P18" s="24" t="inlineStr">
        <is>
          <t>ข</t>
        </is>
      </c>
      <c r="Q18" s="24" t="inlineStr">
        <is>
          <t>ก</t>
        </is>
      </c>
      <c r="R18" s="35" t="inlineStr">
        <is>
          <t>ก</t>
        </is>
      </c>
      <c r="S18" s="35" t="inlineStr">
        <is>
          <t>ค</t>
        </is>
      </c>
      <c r="T18" s="24" t="inlineStr">
        <is>
          <t>ค</t>
        </is>
      </c>
      <c r="U18" s="35" t="inlineStr">
        <is>
          <t>ง</t>
        </is>
      </c>
      <c r="V18" s="35" t="inlineStr">
        <is>
          <t>ข</t>
        </is>
      </c>
      <c r="W18" s="35" t="inlineStr">
        <is>
          <t>ค</t>
        </is>
      </c>
      <c r="X18" s="24" t="inlineStr">
        <is>
          <t>ค</t>
        </is>
      </c>
      <c r="Y18" s="35" t="inlineStr">
        <is>
          <t>ง</t>
        </is>
      </c>
      <c r="Z18" s="35" t="inlineStr">
        <is>
          <t>ง</t>
        </is>
      </c>
      <c r="AA18" s="35" t="inlineStr">
        <is>
          <t>ก</t>
        </is>
      </c>
      <c r="AB18" s="24" t="inlineStr">
        <is>
          <t>ข</t>
        </is>
      </c>
      <c r="AC18" s="35" t="inlineStr">
        <is>
          <t>ค</t>
        </is>
      </c>
      <c r="AD18" s="24" t="inlineStr">
        <is>
          <t>ง</t>
        </is>
      </c>
      <c r="AE18" s="24" t="inlineStr">
        <is>
          <t>ค</t>
        </is>
      </c>
      <c r="AF18" s="35" t="inlineStr">
        <is>
          <t>ก</t>
        </is>
      </c>
      <c r="AG18" s="35" t="inlineStr">
        <is>
          <t>ค</t>
        </is>
      </c>
      <c r="AH18" s="35" t="inlineStr">
        <is>
          <t>ข</t>
        </is>
      </c>
      <c r="AI18" s="23" t="n">
        <v>13</v>
      </c>
      <c r="AJ18" s="6" t="inlineStr">
        <is>
          <t>43.33%</t>
        </is>
      </c>
    </row>
    <row r="19">
      <c r="A19" s="6" t="n">
        <v>13</v>
      </c>
      <c r="B19" s="6" t="inlineStr">
        <is>
          <t>032</t>
        </is>
      </c>
      <c r="C19" s="7" t="inlineStr">
        <is>
          <t>นายวุฒิกร พาณิชย์กุลเกียรติ</t>
        </is>
      </c>
      <c r="D19" s="6" t="inlineStr">
        <is>
          <t>S__8118308_0.jpg</t>
        </is>
      </c>
      <c r="E19" s="24" t="inlineStr">
        <is>
          <t>ข</t>
        </is>
      </c>
      <c r="F19" s="35" t="inlineStr">
        <is>
          <t>ค</t>
        </is>
      </c>
      <c r="G19" s="24" t="inlineStr">
        <is>
          <t>ค</t>
        </is>
      </c>
      <c r="H19" s="35" t="inlineStr">
        <is>
          <t>ข</t>
        </is>
      </c>
      <c r="I19" s="35" t="inlineStr">
        <is>
          <t>ก</t>
        </is>
      </c>
      <c r="J19" s="24" t="inlineStr">
        <is>
          <t>ก</t>
        </is>
      </c>
      <c r="K19" s="35" t="inlineStr">
        <is>
          <t>ง</t>
        </is>
      </c>
      <c r="L19" s="35" t="inlineStr">
        <is>
          <t>ค</t>
        </is>
      </c>
      <c r="M19" s="35" t="inlineStr">
        <is>
          <t>ก</t>
        </is>
      </c>
      <c r="N19" s="24" t="inlineStr">
        <is>
          <t>ก</t>
        </is>
      </c>
      <c r="O19" s="24" t="inlineStr">
        <is>
          <t>ค</t>
        </is>
      </c>
      <c r="P19" s="35" t="inlineStr">
        <is>
          <t>ก</t>
        </is>
      </c>
      <c r="Q19" s="24" t="inlineStr">
        <is>
          <t>ก</t>
        </is>
      </c>
      <c r="R19" s="35" t="inlineStr">
        <is>
          <t>ข</t>
        </is>
      </c>
      <c r="S19" s="24" t="inlineStr">
        <is>
          <t>ข</t>
        </is>
      </c>
      <c r="T19" s="35" t="inlineStr">
        <is>
          <t>ง</t>
        </is>
      </c>
      <c r="U19" s="35" t="inlineStr">
        <is>
          <t>ง</t>
        </is>
      </c>
      <c r="V19" s="35" t="inlineStr">
        <is>
          <t>ข</t>
        </is>
      </c>
      <c r="W19" s="24" t="inlineStr">
        <is>
          <t>ข</t>
        </is>
      </c>
      <c r="X19" s="35" t="inlineStr">
        <is>
          <t>ก</t>
        </is>
      </c>
      <c r="Y19" s="24" t="inlineStr">
        <is>
          <t>ก</t>
        </is>
      </c>
      <c r="Z19" s="24" t="inlineStr">
        <is>
          <t>ค</t>
        </is>
      </c>
      <c r="AA19" s="35" t="inlineStr">
        <is>
          <t>ข</t>
        </is>
      </c>
      <c r="AB19" s="35" t="inlineStr">
        <is>
          <t>ค</t>
        </is>
      </c>
      <c r="AC19" s="35" t="inlineStr">
        <is>
          <t>ค</t>
        </is>
      </c>
      <c r="AD19" s="24" t="inlineStr">
        <is>
          <t>ง</t>
        </is>
      </c>
      <c r="AE19" s="35" t="inlineStr">
        <is>
          <t>ก</t>
        </is>
      </c>
      <c r="AF19" s="24" t="inlineStr">
        <is>
          <t>ข</t>
        </is>
      </c>
      <c r="AG19" s="35" t="inlineStr">
        <is>
          <t>ก</t>
        </is>
      </c>
      <c r="AH19" s="35" t="inlineStr">
        <is>
          <t>ง</t>
        </is>
      </c>
      <c r="AI19" s="23" t="n">
        <v>12</v>
      </c>
      <c r="AJ19" s="6" t="inlineStr">
        <is>
          <t>40.00%</t>
        </is>
      </c>
    </row>
    <row r="20">
      <c r="A20" s="6" t="n">
        <v>14</v>
      </c>
      <c r="B20" s="6" t="inlineStr">
        <is>
          <t>033</t>
        </is>
      </c>
      <c r="C20" s="7" t="inlineStr">
        <is>
          <t>เด็กหญิงสโรชา มาเส็ง</t>
        </is>
      </c>
      <c r="D20" s="6" t="inlineStr">
        <is>
          <t>S__8118299_0.jpg</t>
        </is>
      </c>
      <c r="E20" s="35" t="inlineStr">
        <is>
          <t>ก</t>
        </is>
      </c>
      <c r="F20" s="35" t="inlineStr">
        <is>
          <t>ค</t>
        </is>
      </c>
      <c r="G20" s="24" t="inlineStr">
        <is>
          <t>ค</t>
        </is>
      </c>
      <c r="H20" s="35" t="inlineStr">
        <is>
          <t>ข</t>
        </is>
      </c>
      <c r="I20" s="24" t="inlineStr">
        <is>
          <t>ข</t>
        </is>
      </c>
      <c r="J20" s="35" t="inlineStr">
        <is>
          <t>ง</t>
        </is>
      </c>
      <c r="K20" s="35" t="inlineStr">
        <is>
          <t>ง</t>
        </is>
      </c>
      <c r="L20" s="24" t="inlineStr">
        <is>
          <t>ข</t>
        </is>
      </c>
      <c r="M20" s="35" t="inlineStr">
        <is>
          <t>ค</t>
        </is>
      </c>
      <c r="N20" s="24" t="inlineStr">
        <is>
          <t>ก</t>
        </is>
      </c>
      <c r="O20" s="35" t="inlineStr">
        <is>
          <t>ง</t>
        </is>
      </c>
      <c r="P20" s="24" t="inlineStr">
        <is>
          <t>ข</t>
        </is>
      </c>
      <c r="Q20" s="35" t="inlineStr">
        <is>
          <t>ข</t>
        </is>
      </c>
      <c r="R20" s="35" t="inlineStr">
        <is>
          <t>ก</t>
        </is>
      </c>
      <c r="S20" s="35" t="inlineStr">
        <is>
          <t>ง</t>
        </is>
      </c>
      <c r="T20" s="24" t="inlineStr">
        <is>
          <t>ค</t>
        </is>
      </c>
      <c r="U20" s="24" t="inlineStr">
        <is>
          <t>ก</t>
        </is>
      </c>
      <c r="V20" s="35" t="inlineStr">
        <is>
          <t>ข</t>
        </is>
      </c>
      <c r="W20" s="35" t="inlineStr">
        <is>
          <t>ง</t>
        </is>
      </c>
      <c r="X20" s="24" t="inlineStr">
        <is>
          <t>ค</t>
        </is>
      </c>
      <c r="Y20" s="24" t="inlineStr">
        <is>
          <t>ก</t>
        </is>
      </c>
      <c r="Z20" s="35" t="inlineStr">
        <is>
          <t>ง</t>
        </is>
      </c>
      <c r="AA20" s="35" t="inlineStr">
        <is>
          <t>ข</t>
        </is>
      </c>
      <c r="AB20" s="24" t="inlineStr">
        <is>
          <t>ข</t>
        </is>
      </c>
      <c r="AC20" s="24" t="inlineStr">
        <is>
          <t>ก</t>
        </is>
      </c>
      <c r="AD20" s="35" t="inlineStr">
        <is>
          <t>ค</t>
        </is>
      </c>
      <c r="AE20" s="35" t="inlineStr">
        <is>
          <t>ข</t>
        </is>
      </c>
      <c r="AF20" s="35" t="inlineStr">
        <is>
          <t>ง</t>
        </is>
      </c>
      <c r="AG20" s="35" t="inlineStr">
        <is>
          <t>ก</t>
        </is>
      </c>
      <c r="AH20" s="35" t="inlineStr">
        <is>
          <t>ง</t>
        </is>
      </c>
      <c r="AI20" s="23" t="n">
        <v>11</v>
      </c>
      <c r="AJ20" s="6" t="inlineStr">
        <is>
          <t>36.67%</t>
        </is>
      </c>
    </row>
    <row r="21">
      <c r="A21" s="6" t="n">
        <v>15</v>
      </c>
      <c r="B21" s="6" t="inlineStr">
        <is>
          <t>034</t>
        </is>
      </c>
      <c r="C21" s="7" t="inlineStr">
        <is>
          <t>นายอธิป ทองดอนเถื่อน</t>
        </is>
      </c>
      <c r="D21" s="6" t="inlineStr">
        <is>
          <t>S__8118302_0.jpg</t>
        </is>
      </c>
      <c r="E21" s="35" t="inlineStr">
        <is>
          <t>ค</t>
        </is>
      </c>
      <c r="F21" s="24" t="inlineStr">
        <is>
          <t>ก</t>
        </is>
      </c>
      <c r="G21" s="35" t="inlineStr">
        <is>
          <t>ก</t>
        </is>
      </c>
      <c r="H21" s="24" t="inlineStr">
        <is>
          <t>ง</t>
        </is>
      </c>
      <c r="I21" s="24" t="inlineStr">
        <is>
          <t>ข</t>
        </is>
      </c>
      <c r="J21" s="24" t="inlineStr">
        <is>
          <t>ก</t>
        </is>
      </c>
      <c r="K21" s="35" t="inlineStr">
        <is>
          <t>ง</t>
        </is>
      </c>
      <c r="L21" s="24" t="inlineStr">
        <is>
          <t>ข</t>
        </is>
      </c>
      <c r="M21" s="24" t="inlineStr">
        <is>
          <t>ง</t>
        </is>
      </c>
      <c r="N21" s="24" t="inlineStr">
        <is>
          <t>ก</t>
        </is>
      </c>
      <c r="O21" s="24" t="inlineStr">
        <is>
          <t>ค</t>
        </is>
      </c>
      <c r="P21" s="24" t="inlineStr">
        <is>
          <t>ข</t>
        </is>
      </c>
      <c r="Q21" s="35" t="inlineStr">
        <is>
          <t>ข</t>
        </is>
      </c>
      <c r="R21" s="24" t="inlineStr">
        <is>
          <t>ง</t>
        </is>
      </c>
      <c r="S21" s="24" t="inlineStr">
        <is>
          <t>ข</t>
        </is>
      </c>
      <c r="T21" s="24" t="inlineStr">
        <is>
          <t>ค</t>
        </is>
      </c>
      <c r="U21" s="24" t="inlineStr">
        <is>
          <t>ก</t>
        </is>
      </c>
      <c r="V21" s="24" t="inlineStr">
        <is>
          <t>ง</t>
        </is>
      </c>
      <c r="W21" s="35" t="inlineStr">
        <is>
          <t>ก</t>
        </is>
      </c>
      <c r="X21" s="24" t="inlineStr">
        <is>
          <t>ค</t>
        </is>
      </c>
      <c r="Y21" s="35" t="inlineStr">
        <is>
          <t>ง</t>
        </is>
      </c>
      <c r="Z21" s="24" t="inlineStr">
        <is>
          <t>ค</t>
        </is>
      </c>
      <c r="AA21" s="24" t="inlineStr">
        <is>
          <t>ง</t>
        </is>
      </c>
      <c r="AB21" s="35" t="inlineStr">
        <is>
          <t>ค</t>
        </is>
      </c>
      <c r="AC21" s="24" t="inlineStr">
        <is>
          <t>ก</t>
        </is>
      </c>
      <c r="AD21" s="24" t="inlineStr">
        <is>
          <t>ง</t>
        </is>
      </c>
      <c r="AE21" s="24" t="inlineStr">
        <is>
          <t>ค</t>
        </is>
      </c>
      <c r="AF21" s="35" t="inlineStr">
        <is>
          <t>ก</t>
        </is>
      </c>
      <c r="AG21" s="35" t="inlineStr">
        <is>
          <t>ข</t>
        </is>
      </c>
      <c r="AH21" s="24" t="inlineStr">
        <is>
          <t>ค</t>
        </is>
      </c>
      <c r="AI21" s="23" t="n">
        <v>21</v>
      </c>
      <c r="AJ21" s="6" t="inlineStr">
        <is>
          <t>70.00%</t>
        </is>
      </c>
    </row>
    <row r="22">
      <c r="A22" s="6" t="n">
        <v>16</v>
      </c>
      <c r="B22" s="6" t="inlineStr">
        <is>
          <t>035</t>
        </is>
      </c>
      <c r="C22" s="7" t="inlineStr">
        <is>
          <t>เด็กหญิงอารยา จันทน</t>
        </is>
      </c>
      <c r="D22" s="6" t="inlineStr">
        <is>
          <t>S__8118303_0.jpg</t>
        </is>
      </c>
      <c r="E22" s="35" t="inlineStr">
        <is>
          <t>ก</t>
        </is>
      </c>
      <c r="F22" s="35" t="inlineStr">
        <is>
          <t>ข</t>
        </is>
      </c>
      <c r="G22" s="24" t="inlineStr">
        <is>
          <t>ค</t>
        </is>
      </c>
      <c r="H22" s="24" t="inlineStr">
        <is>
          <t>ง</t>
        </is>
      </c>
      <c r="I22" s="24" t="inlineStr">
        <is>
          <t>ข</t>
        </is>
      </c>
      <c r="J22" s="35" t="inlineStr">
        <is>
          <t>ค</t>
        </is>
      </c>
      <c r="K22" s="35" t="inlineStr">
        <is>
          <t>ข</t>
        </is>
      </c>
      <c r="L22" s="24" t="inlineStr">
        <is>
          <t>ข</t>
        </is>
      </c>
      <c r="M22" s="24" t="inlineStr">
        <is>
          <t>ง</t>
        </is>
      </c>
      <c r="N22" s="24" t="inlineStr">
        <is>
          <t>ก</t>
        </is>
      </c>
      <c r="O22" s="24" t="inlineStr">
        <is>
          <t>ค</t>
        </is>
      </c>
      <c r="P22" s="35" t="inlineStr">
        <is>
          <t>ค</t>
        </is>
      </c>
      <c r="Q22" s="24" t="inlineStr">
        <is>
          <t>ก</t>
        </is>
      </c>
      <c r="R22" s="35" t="inlineStr">
        <is>
          <t>ค</t>
        </is>
      </c>
      <c r="S22" s="24" t="inlineStr">
        <is>
          <t>ข</t>
        </is>
      </c>
      <c r="T22" s="24" t="inlineStr">
        <is>
          <t>ค</t>
        </is>
      </c>
      <c r="U22" s="24" t="inlineStr">
        <is>
          <t>ก</t>
        </is>
      </c>
      <c r="V22" s="35" t="inlineStr">
        <is>
          <t>ข</t>
        </is>
      </c>
      <c r="W22" s="35" t="inlineStr">
        <is>
          <t>ง</t>
        </is>
      </c>
      <c r="X22" s="24" t="inlineStr">
        <is>
          <t>ค</t>
        </is>
      </c>
      <c r="Y22" s="24" t="inlineStr">
        <is>
          <t>ก</t>
        </is>
      </c>
      <c r="Z22" s="24" t="inlineStr">
        <is>
          <t>ค</t>
        </is>
      </c>
      <c r="AA22" s="24" t="inlineStr">
        <is>
          <t>ง</t>
        </is>
      </c>
      <c r="AB22" s="35" t="inlineStr">
        <is>
          <t>ง</t>
        </is>
      </c>
      <c r="AC22" s="24" t="inlineStr">
        <is>
          <t>ก</t>
        </is>
      </c>
      <c r="AD22" s="24" t="inlineStr">
        <is>
          <t>ง</t>
        </is>
      </c>
      <c r="AE22" s="35" t="inlineStr">
        <is>
          <t>ง</t>
        </is>
      </c>
      <c r="AF22" s="24" t="inlineStr">
        <is>
          <t>ข</t>
        </is>
      </c>
      <c r="AG22" s="35" t="inlineStr">
        <is>
          <t>ก</t>
        </is>
      </c>
      <c r="AH22" s="24" t="inlineStr">
        <is>
          <t>ค</t>
        </is>
      </c>
      <c r="AI22" s="23" t="n">
        <v>19</v>
      </c>
      <c r="AJ22" s="6" t="inlineStr">
        <is>
          <t>63.33%</t>
        </is>
      </c>
    </row>
    <row r="23">
      <c r="A23" s="14" t="inlineStr">
        <is>
          <t>-</t>
        </is>
      </c>
      <c r="B23" s="14" t="inlineStr">
        <is>
          <t>-</t>
        </is>
      </c>
      <c r="C23" s="36" t="inlineStr">
        <is>
          <t>จำนวนคนตอบถูก (คน)</t>
        </is>
      </c>
      <c r="D23" s="14" t="inlineStr">
        <is>
          <t>-</t>
        </is>
      </c>
      <c r="E23" s="14">
        <f>COUNTIF(E7:E22, "ข")</f>
        <v/>
      </c>
      <c r="F23" s="14">
        <f>COUNTIF(F7:F22, "ก")</f>
        <v/>
      </c>
      <c r="G23" s="14">
        <f>COUNTIF(G7:G22, "ค")</f>
        <v/>
      </c>
      <c r="H23" s="14">
        <f>COUNTIF(H7:H22, "ง")</f>
        <v/>
      </c>
      <c r="I23" s="14">
        <f>COUNTIF(I7:I22, "ข")</f>
        <v/>
      </c>
      <c r="J23" s="14">
        <f>COUNTIF(J7:J22, "ก")</f>
        <v/>
      </c>
      <c r="K23" s="14">
        <f>COUNTIF(K7:K22, "ค")</f>
        <v/>
      </c>
      <c r="L23" s="14">
        <f>COUNTIF(L7:L22, "ข")</f>
        <v/>
      </c>
      <c r="M23" s="14">
        <f>COUNTIF(M7:M22, "ง")</f>
        <v/>
      </c>
      <c r="N23" s="14">
        <f>COUNTIF(N7:N22, "ก")</f>
        <v/>
      </c>
      <c r="O23" s="14">
        <f>COUNTIF(O7:O22, "ค")</f>
        <v/>
      </c>
      <c r="P23" s="14">
        <f>COUNTIF(P7:P22, "ข")</f>
        <v/>
      </c>
      <c r="Q23" s="14">
        <f>COUNTIF(Q7:Q22, "ก")</f>
        <v/>
      </c>
      <c r="R23" s="14">
        <f>COUNTIF(R7:R22, "ง")</f>
        <v/>
      </c>
      <c r="S23" s="14">
        <f>COUNTIF(S7:S22, "ข")</f>
        <v/>
      </c>
      <c r="T23" s="14">
        <f>COUNTIF(T7:T22, "ค")</f>
        <v/>
      </c>
      <c r="U23" s="14">
        <f>COUNTIF(U7:U22, "ก")</f>
        <v/>
      </c>
      <c r="V23" s="14">
        <f>COUNTIF(V7:V22, "ง")</f>
        <v/>
      </c>
      <c r="W23" s="14">
        <f>COUNTIF(W7:W22, "ข")</f>
        <v/>
      </c>
      <c r="X23" s="14">
        <f>COUNTIF(X7:X22, "ค")</f>
        <v/>
      </c>
      <c r="Y23" s="14">
        <f>COUNTIF(Y7:Y22, "ก")</f>
        <v/>
      </c>
      <c r="Z23" s="14">
        <f>COUNTIF(Z7:Z22, "ค")</f>
        <v/>
      </c>
      <c r="AA23" s="14">
        <f>COUNTIF(AA7:AA22, "ง")</f>
        <v/>
      </c>
      <c r="AB23" s="14">
        <f>COUNTIF(AB7:AB22, "ข")</f>
        <v/>
      </c>
      <c r="AC23" s="14">
        <f>COUNTIF(AC7:AC22, "ก")</f>
        <v/>
      </c>
      <c r="AD23" s="14">
        <f>COUNTIF(AD7:AD22, "ง")</f>
        <v/>
      </c>
      <c r="AE23" s="14">
        <f>COUNTIF(AE7:AE22, "ค")</f>
        <v/>
      </c>
      <c r="AF23" s="14">
        <f>COUNTIF(AF7:AF22, "ข")</f>
        <v/>
      </c>
      <c r="AG23" s="14">
        <f>COUNTIF(AG7:AG22, "ง")</f>
        <v/>
      </c>
      <c r="AH23" s="14">
        <f>COUNTIF(AH7:AH22, "ค")</f>
        <v/>
      </c>
      <c r="AI23" s="14">
        <f>ROUND(AVERAGE(AI7:AI22), 2)</f>
        <v/>
      </c>
      <c r="AJ23" s="14">
        <f>ROUND(AVERAGE(AI7:AI22)/30*100, 2) &amp; "%"</f>
        <v/>
      </c>
    </row>
  </sheetData>
  <mergeCells count="3">
    <mergeCell ref="AI4:AJ4"/>
    <mergeCell ref="E4:AH4"/>
    <mergeCell ref="A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6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6" customWidth="1" min="9" max="9"/>
    <col width="30" customWidth="1" min="10" max="10"/>
  </cols>
  <sheetData>
    <row r="1">
      <c r="A1" s="1" t="inlineStr">
        <is>
          <t>🔬 รายงานการวิเคราะห์ข้อสอบรายข้อ (Item Difficulty &amp; Distractor Analysis)</t>
        </is>
      </c>
    </row>
    <row r="2">
      <c r="A2" s="2" t="inlineStr">
        <is>
          <t>วิชา 21909-1006 พื้นฐานการสร้างเว็บไซต์  |  จำนวนผู้เข้าสอบ N = 31 คน  |  วิเคราะห์ดัชนีความยากง่าย (P-value)</t>
        </is>
      </c>
    </row>
    <row r="4">
      <c r="A4" s="15" t="inlineStr">
        <is>
          <t>ข้อมูลข้อสอบ</t>
        </is>
      </c>
      <c r="B4" s="52" t="n"/>
      <c r="C4" s="53" t="n"/>
      <c r="D4" s="17" t="inlineStr">
        <is>
          <t>การกระจายตัวของตัวเลือก (คน)</t>
        </is>
      </c>
      <c r="E4" s="52" t="n"/>
      <c r="F4" s="52" t="n"/>
      <c r="G4" s="53" t="n"/>
      <c r="H4" s="15" t="inlineStr">
        <is>
          <t>ดัชนีและการแปลผลทางสถิติ</t>
        </is>
      </c>
      <c r="I4" s="52" t="n"/>
      <c r="J4" s="53" t="n"/>
    </row>
    <row r="5">
      <c r="A5" s="4" t="inlineStr">
        <is>
          <t>ข้อที่</t>
        </is>
      </c>
      <c r="B5" s="4" t="inlineStr">
        <is>
          <t>เฉลย</t>
        </is>
      </c>
      <c r="C5" s="4" t="inlineStr">
        <is>
          <t>สาระการเรียนรู้ / เรื่องที่วัดผล</t>
        </is>
      </c>
      <c r="D5" s="4" t="inlineStr">
        <is>
          <t>เลือก ก</t>
        </is>
      </c>
      <c r="E5" s="4" t="inlineStr">
        <is>
          <t>เลือก ข</t>
        </is>
      </c>
      <c r="F5" s="4" t="inlineStr">
        <is>
          <t>เลือก ค</t>
        </is>
      </c>
      <c r="G5" s="4" t="inlineStr">
        <is>
          <t>เลือก ง</t>
        </is>
      </c>
      <c r="H5" s="4" t="inlineStr">
        <is>
          <t>ตอบถูก (คน)</t>
        </is>
      </c>
      <c r="I5" s="4" t="inlineStr">
        <is>
          <t>ค่าความยาก (P)</t>
        </is>
      </c>
      <c r="J5" s="4" t="inlineStr">
        <is>
          <t>การแปลผลระดับความยาก</t>
        </is>
      </c>
    </row>
    <row r="6">
      <c r="A6" s="21" t="n">
        <v>1</v>
      </c>
      <c r="B6" s="32" t="inlineStr">
        <is>
          <t>ข</t>
        </is>
      </c>
      <c r="C6" s="22" t="inlineStr">
        <is>
          <t>หน่วยที่ 1: ความหมาย Information Architecture</t>
        </is>
      </c>
      <c r="D6" s="6" t="n">
        <v>10</v>
      </c>
      <c r="E6" s="37" t="n">
        <v>15</v>
      </c>
      <c r="F6" s="6" t="n">
        <v>2</v>
      </c>
      <c r="G6" s="6" t="n">
        <v>4</v>
      </c>
      <c r="H6" s="23" t="n">
        <v>15</v>
      </c>
      <c r="I6" s="38" t="n">
        <v>0.484</v>
      </c>
      <c r="J6" s="39" t="inlineStr">
        <is>
          <t>ยากปานกลาง (Optimal / Good)</t>
        </is>
      </c>
    </row>
    <row r="7">
      <c r="A7" s="21" t="n">
        <v>2</v>
      </c>
      <c r="B7" s="32" t="inlineStr">
        <is>
          <t>ก</t>
        </is>
      </c>
      <c r="C7" s="22" t="inlineStr">
        <is>
          <t>หน่วยที่ 1: หลักการ Categorization</t>
        </is>
      </c>
      <c r="D7" s="37" t="n">
        <v>15</v>
      </c>
      <c r="E7" s="6" t="n">
        <v>5</v>
      </c>
      <c r="F7" s="6" t="n">
        <v>10</v>
      </c>
      <c r="G7" s="6" t="n">
        <v>1</v>
      </c>
      <c r="H7" s="23" t="n">
        <v>15</v>
      </c>
      <c r="I7" s="38" t="n">
        <v>0.484</v>
      </c>
      <c r="J7" s="39" t="inlineStr">
        <is>
          <t>ยากปานกลาง (Optimal / Good)</t>
        </is>
      </c>
    </row>
    <row r="8">
      <c r="A8" s="21" t="n">
        <v>3</v>
      </c>
      <c r="B8" s="32" t="inlineStr">
        <is>
          <t>ค</t>
        </is>
      </c>
      <c r="C8" s="22" t="inlineStr">
        <is>
          <t>หน่วยที่ 1: หลักการ Labeling</t>
        </is>
      </c>
      <c r="D8" s="6" t="n">
        <v>3</v>
      </c>
      <c r="E8" s="6" t="n">
        <v>3</v>
      </c>
      <c r="F8" s="37" t="n">
        <v>23</v>
      </c>
      <c r="G8" s="6" t="n">
        <v>2</v>
      </c>
      <c r="H8" s="23" t="n">
        <v>23</v>
      </c>
      <c r="I8" s="40" t="n">
        <v>0.742</v>
      </c>
      <c r="J8" s="41" t="inlineStr">
        <is>
          <t>ค่อนข้างง่าย (Fairly Easy)</t>
        </is>
      </c>
    </row>
    <row r="9">
      <c r="A9" s="21" t="n">
        <v>4</v>
      </c>
      <c r="B9" s="32" t="inlineStr">
        <is>
          <t>ง</t>
        </is>
      </c>
      <c r="C9" s="22" t="inlineStr">
        <is>
          <t>หน่วยที่ 1: User Journey vs User Flow</t>
        </is>
      </c>
      <c r="D9" s="6" t="n">
        <v>2</v>
      </c>
      <c r="E9" s="6" t="n">
        <v>6</v>
      </c>
      <c r="F9" s="6" t="n">
        <v>0</v>
      </c>
      <c r="G9" s="37" t="n">
        <v>23</v>
      </c>
      <c r="H9" s="23" t="n">
        <v>23</v>
      </c>
      <c r="I9" s="40" t="n">
        <v>0.742</v>
      </c>
      <c r="J9" s="41" t="inlineStr">
        <is>
          <t>ค่อนข้างง่าย (Fairly Easy)</t>
        </is>
      </c>
    </row>
    <row r="10">
      <c r="A10" s="21" t="n">
        <v>5</v>
      </c>
      <c r="B10" s="32" t="inlineStr">
        <is>
          <t>ข</t>
        </is>
      </c>
      <c r="C10" s="22" t="inlineStr">
        <is>
          <t>หน่วยที่ 1: การเขียนผัง User Flow</t>
        </is>
      </c>
      <c r="D10" s="6" t="n">
        <v>8</v>
      </c>
      <c r="E10" s="37" t="n">
        <v>21</v>
      </c>
      <c r="F10" s="6" t="n">
        <v>1</v>
      </c>
      <c r="G10" s="6" t="n">
        <v>1</v>
      </c>
      <c r="H10" s="23" t="n">
        <v>21</v>
      </c>
      <c r="I10" s="40" t="n">
        <v>0.677</v>
      </c>
      <c r="J10" s="41" t="inlineStr">
        <is>
          <t>ค่อนข้างง่าย (Fairly Easy)</t>
        </is>
      </c>
    </row>
    <row r="11">
      <c r="A11" s="21" t="n">
        <v>6</v>
      </c>
      <c r="B11" s="32" t="inlineStr">
        <is>
          <t>ก</t>
        </is>
      </c>
      <c r="C11" s="22" t="inlineStr">
        <is>
          <t>หน่วยที่ 1: บทบาทของแผนผังเว็บไซต์ (Sitemap)</t>
        </is>
      </c>
      <c r="D11" s="37" t="n">
        <v>25</v>
      </c>
      <c r="E11" s="6" t="n">
        <v>1</v>
      </c>
      <c r="F11" s="6" t="n">
        <v>3</v>
      </c>
      <c r="G11" s="6" t="n">
        <v>2</v>
      </c>
      <c r="H11" s="23" t="n">
        <v>25</v>
      </c>
      <c r="I11" s="42" t="n">
        <v>0.806</v>
      </c>
      <c r="J11" s="24" t="inlineStr">
        <is>
          <t>ง่ายมาก (Very Easy)</t>
        </is>
      </c>
    </row>
    <row r="12">
      <c r="A12" s="21" t="n">
        <v>7</v>
      </c>
      <c r="B12" s="32" t="inlineStr">
        <is>
          <t>ค</t>
        </is>
      </c>
      <c r="C12" s="22" t="inlineStr">
        <is>
          <t>หน่วยที่ 1: เหตุผลที่ Wireframe ใช้ขาว-ดำ</t>
        </is>
      </c>
      <c r="D12" s="6" t="n">
        <v>3</v>
      </c>
      <c r="E12" s="6" t="n">
        <v>6</v>
      </c>
      <c r="F12" s="37" t="n">
        <v>12</v>
      </c>
      <c r="G12" s="6" t="n">
        <v>10</v>
      </c>
      <c r="H12" s="23" t="n">
        <v>12</v>
      </c>
      <c r="I12" s="43" t="n">
        <v>0.387</v>
      </c>
      <c r="J12" s="44" t="inlineStr">
        <is>
          <t>ค่อนข้างยาก (Fairly Hard)</t>
        </is>
      </c>
    </row>
    <row r="13">
      <c r="A13" s="21" t="n">
        <v>8</v>
      </c>
      <c r="B13" s="32" t="inlineStr">
        <is>
          <t>ข</t>
        </is>
      </c>
      <c r="C13" s="22" t="inlineStr">
        <is>
          <t>หน่วยที่ 1: ข้อดีของการร่าง Wireframe</t>
        </is>
      </c>
      <c r="D13" s="6" t="n">
        <v>2</v>
      </c>
      <c r="E13" s="37" t="n">
        <v>22</v>
      </c>
      <c r="F13" s="6" t="n">
        <v>5</v>
      </c>
      <c r="G13" s="6" t="n">
        <v>2</v>
      </c>
      <c r="H13" s="23" t="n">
        <v>22</v>
      </c>
      <c r="I13" s="40" t="n">
        <v>0.71</v>
      </c>
      <c r="J13" s="41" t="inlineStr">
        <is>
          <t>ค่อนข้างง่าย (Fairly Easy)</t>
        </is>
      </c>
    </row>
    <row r="14">
      <c r="A14" s="21" t="n">
        <v>9</v>
      </c>
      <c r="B14" s="32" t="inlineStr">
        <is>
          <t>ง</t>
        </is>
      </c>
      <c r="C14" s="22" t="inlineStr">
        <is>
          <t>หน่วยที่ 1: องค์ประกอบที่ไม่ควรมีใน Wireframe</t>
        </is>
      </c>
      <c r="D14" s="6" t="n">
        <v>4</v>
      </c>
      <c r="E14" s="6" t="n">
        <v>4</v>
      </c>
      <c r="F14" s="6" t="n">
        <v>5</v>
      </c>
      <c r="G14" s="37" t="n">
        <v>18</v>
      </c>
      <c r="H14" s="23" t="n">
        <v>18</v>
      </c>
      <c r="I14" s="38" t="n">
        <v>0.581</v>
      </c>
      <c r="J14" s="39" t="inlineStr">
        <is>
          <t>ยากปานกลาง (Optimal / Good)</t>
        </is>
      </c>
    </row>
    <row r="15">
      <c r="A15" s="21" t="n">
        <v>10</v>
      </c>
      <c r="B15" s="32" t="inlineStr">
        <is>
          <t>ก</t>
        </is>
      </c>
      <c r="C15" s="22" t="inlineStr">
        <is>
          <t>หน่วยที่ 1: หัวใจหลักของ Blueprint (Wireframe)</t>
        </is>
      </c>
      <c r="D15" s="37" t="n">
        <v>24</v>
      </c>
      <c r="E15" s="6" t="n">
        <v>5</v>
      </c>
      <c r="F15" s="6" t="n">
        <v>0</v>
      </c>
      <c r="G15" s="6" t="n">
        <v>2</v>
      </c>
      <c r="H15" s="23" t="n">
        <v>24</v>
      </c>
      <c r="I15" s="40" t="n">
        <v>0.774</v>
      </c>
      <c r="J15" s="41" t="inlineStr">
        <is>
          <t>ค่อนข้างง่าย (Fairly Easy)</t>
        </is>
      </c>
    </row>
    <row r="16">
      <c r="A16" s="21" t="n">
        <v>11</v>
      </c>
      <c r="B16" s="32" t="inlineStr">
        <is>
          <t>ค</t>
        </is>
      </c>
      <c r="C16" s="22" t="inlineStr">
        <is>
          <t>หน่วยที่ 2: แม่สีและการผสมสีขั้นที่ 2</t>
        </is>
      </c>
      <c r="D16" s="6" t="n">
        <v>3</v>
      </c>
      <c r="E16" s="6" t="n">
        <v>4</v>
      </c>
      <c r="F16" s="37" t="n">
        <v>19</v>
      </c>
      <c r="G16" s="6" t="n">
        <v>5</v>
      </c>
      <c r="H16" s="23" t="n">
        <v>19</v>
      </c>
      <c r="I16" s="40" t="n">
        <v>0.613</v>
      </c>
      <c r="J16" s="41" t="inlineStr">
        <is>
          <t>ค่อนข้างง่าย (Fairly Easy)</t>
        </is>
      </c>
    </row>
    <row r="17">
      <c r="A17" s="21" t="n">
        <v>12</v>
      </c>
      <c r="B17" s="32" t="inlineStr">
        <is>
          <t>ข</t>
        </is>
      </c>
      <c r="C17" s="22" t="inlineStr">
        <is>
          <t>หน่วยที่ 2: สีวรรณะกึ่งกลาง (Neutral Temperature)</t>
        </is>
      </c>
      <c r="D17" s="6" t="n">
        <v>6</v>
      </c>
      <c r="E17" s="37" t="n">
        <v>9</v>
      </c>
      <c r="F17" s="6" t="n">
        <v>7</v>
      </c>
      <c r="G17" s="6" t="n">
        <v>9</v>
      </c>
      <c r="H17" s="23" t="n">
        <v>9</v>
      </c>
      <c r="I17" s="43" t="n">
        <v>0.29</v>
      </c>
      <c r="J17" s="44" t="inlineStr">
        <is>
          <t>ค่อนข้างยาก (Fairly Hard)</t>
        </is>
      </c>
    </row>
    <row r="18">
      <c r="A18" s="21" t="n">
        <v>13</v>
      </c>
      <c r="B18" s="32" t="inlineStr">
        <is>
          <t>ก</t>
        </is>
      </c>
      <c r="C18" s="22" t="inlineStr">
        <is>
          <t>หน่วยที่ 2: จิตวิทยาสีวรรณะร้อน (Warm Tone)</t>
        </is>
      </c>
      <c r="D18" s="37" t="n">
        <v>21</v>
      </c>
      <c r="E18" s="6" t="n">
        <v>6</v>
      </c>
      <c r="F18" s="6" t="n">
        <v>1</v>
      </c>
      <c r="G18" s="6" t="n">
        <v>3</v>
      </c>
      <c r="H18" s="23" t="n">
        <v>21</v>
      </c>
      <c r="I18" s="40" t="n">
        <v>0.677</v>
      </c>
      <c r="J18" s="41" t="inlineStr">
        <is>
          <t>ค่อนข้างง่าย (Fairly Easy)</t>
        </is>
      </c>
    </row>
    <row r="19">
      <c r="A19" s="21" t="n">
        <v>14</v>
      </c>
      <c r="B19" s="32" t="inlineStr">
        <is>
          <t>ง</t>
        </is>
      </c>
      <c r="C19" s="22" t="inlineStr">
        <is>
          <t>หน่วยที่ 2: ประโยชน์ของคู่สี Complementary</t>
        </is>
      </c>
      <c r="D19" s="6" t="n">
        <v>4</v>
      </c>
      <c r="E19" s="6" t="n">
        <v>3</v>
      </c>
      <c r="F19" s="6" t="n">
        <v>6</v>
      </c>
      <c r="G19" s="37" t="n">
        <v>18</v>
      </c>
      <c r="H19" s="23" t="n">
        <v>18</v>
      </c>
      <c r="I19" s="38" t="n">
        <v>0.581</v>
      </c>
      <c r="J19" s="39" t="inlineStr">
        <is>
          <t>ยากปานกลาง (Optimal / Good)</t>
        </is>
      </c>
    </row>
    <row r="20">
      <c r="A20" s="21" t="n">
        <v>15</v>
      </c>
      <c r="B20" s="32" t="inlineStr">
        <is>
          <t>ข</t>
        </is>
      </c>
      <c r="C20" s="22" t="inlineStr">
        <is>
          <t>หน่วยที่ 2: กฎสัดส่วน Color Palette</t>
        </is>
      </c>
      <c r="D20" s="6" t="n">
        <v>2</v>
      </c>
      <c r="E20" s="37" t="n">
        <v>25</v>
      </c>
      <c r="F20" s="6" t="n">
        <v>2</v>
      </c>
      <c r="G20" s="6" t="n">
        <v>2</v>
      </c>
      <c r="H20" s="23" t="n">
        <v>25</v>
      </c>
      <c r="I20" s="42" t="n">
        <v>0.806</v>
      </c>
      <c r="J20" s="24" t="inlineStr">
        <is>
          <t>ง่ายมาก (Very Easy)</t>
        </is>
      </c>
    </row>
    <row r="21">
      <c r="A21" s="21" t="n">
        <v>16</v>
      </c>
      <c r="B21" s="32" t="inlineStr">
        <is>
          <t>ค</t>
        </is>
      </c>
      <c r="C21" s="22" t="inlineStr">
        <is>
          <t>หน่วยที่ 2: การเลือก Typography ใน Body Text</t>
        </is>
      </c>
      <c r="D21" s="6" t="n">
        <v>2</v>
      </c>
      <c r="E21" s="6" t="n">
        <v>0</v>
      </c>
      <c r="F21" s="37" t="n">
        <v>27</v>
      </c>
      <c r="G21" s="6" t="n">
        <v>2</v>
      </c>
      <c r="H21" s="23" t="n">
        <v>27</v>
      </c>
      <c r="I21" s="42" t="n">
        <v>0.871</v>
      </c>
      <c r="J21" s="24" t="inlineStr">
        <is>
          <t>ง่ายมาก (Very Easy)</t>
        </is>
      </c>
    </row>
    <row r="22">
      <c r="A22" s="21" t="n">
        <v>17</v>
      </c>
      <c r="B22" s="32" t="inlineStr">
        <is>
          <t>ก</t>
        </is>
      </c>
      <c r="C22" s="22" t="inlineStr">
        <is>
          <t>หน่วยที่ 2: ความสอดคล้องของชุดไอคอน</t>
        </is>
      </c>
      <c r="D22" s="37" t="n">
        <v>26</v>
      </c>
      <c r="E22" s="6" t="n">
        <v>3</v>
      </c>
      <c r="F22" s="6" t="n">
        <v>0</v>
      </c>
      <c r="G22" s="6" t="n">
        <v>2</v>
      </c>
      <c r="H22" s="23" t="n">
        <v>26</v>
      </c>
      <c r="I22" s="42" t="n">
        <v>0.839</v>
      </c>
      <c r="J22" s="24" t="inlineStr">
        <is>
          <t>ง่ายมาก (Very Easy)</t>
        </is>
      </c>
    </row>
    <row r="23">
      <c r="A23" s="21" t="n">
        <v>18</v>
      </c>
      <c r="B23" s="32" t="inlineStr">
        <is>
          <t>ง</t>
        </is>
      </c>
      <c r="C23" s="22" t="inlineStr">
        <is>
          <t>หน่วยที่ 2: Grid System ใน Responsive Design</t>
        </is>
      </c>
      <c r="D23" s="6" t="n">
        <v>7</v>
      </c>
      <c r="E23" s="6" t="n">
        <v>8</v>
      </c>
      <c r="F23" s="6" t="n">
        <v>2</v>
      </c>
      <c r="G23" s="37" t="n">
        <v>14</v>
      </c>
      <c r="H23" s="23" t="n">
        <v>14</v>
      </c>
      <c r="I23" s="38" t="n">
        <v>0.452</v>
      </c>
      <c r="J23" s="39" t="inlineStr">
        <is>
          <t>ยากปานกลาง (Optimal / Good)</t>
        </is>
      </c>
    </row>
    <row r="24">
      <c r="A24" s="21" t="n">
        <v>19</v>
      </c>
      <c r="B24" s="32" t="inlineStr">
        <is>
          <t>ข</t>
        </is>
      </c>
      <c r="C24" s="22" t="inlineStr">
        <is>
          <t>หน่วยที่ 2: ลำดับชั้น Atomic Design (Molecules)</t>
        </is>
      </c>
      <c r="D24" s="6" t="n">
        <v>4</v>
      </c>
      <c r="E24" s="37" t="n">
        <v>17</v>
      </c>
      <c r="F24" s="6" t="n">
        <v>8</v>
      </c>
      <c r="G24" s="6" t="n">
        <v>2</v>
      </c>
      <c r="H24" s="23" t="n">
        <v>17</v>
      </c>
      <c r="I24" s="38" t="n">
        <v>0.548</v>
      </c>
      <c r="J24" s="39" t="inlineStr">
        <is>
          <t>ยากปานกลาง (Optimal / Good)</t>
        </is>
      </c>
    </row>
    <row r="25">
      <c r="A25" s="21" t="n">
        <v>20</v>
      </c>
      <c r="B25" s="32" t="inlineStr">
        <is>
          <t>ค</t>
        </is>
      </c>
      <c r="C25" s="22" t="inlineStr">
        <is>
          <t>หน่วยที่ 2: หลัก Visual Hierarchy กับปุ่ม CTA</t>
        </is>
      </c>
      <c r="D25" s="6" t="n">
        <v>2</v>
      </c>
      <c r="E25" s="6" t="n">
        <v>2</v>
      </c>
      <c r="F25" s="37" t="n">
        <v>26</v>
      </c>
      <c r="G25" s="6" t="n">
        <v>1</v>
      </c>
      <c r="H25" s="23" t="n">
        <v>26</v>
      </c>
      <c r="I25" s="42" t="n">
        <v>0.839</v>
      </c>
      <c r="J25" s="24" t="inlineStr">
        <is>
          <t>ง่ายมาก (Very Easy)</t>
        </is>
      </c>
    </row>
    <row r="26">
      <c r="A26" s="21" t="n">
        <v>21</v>
      </c>
      <c r="B26" s="32" t="inlineStr">
        <is>
          <t>ก</t>
        </is>
      </c>
      <c r="C26" s="22" t="inlineStr">
        <is>
          <t>หน่วยที่ 3: ข้อเปรียบเทียบ CSS Grid vs Flexbox</t>
        </is>
      </c>
      <c r="D26" s="37" t="n">
        <v>20</v>
      </c>
      <c r="E26" s="6" t="n">
        <v>2</v>
      </c>
      <c r="F26" s="6" t="n">
        <v>0</v>
      </c>
      <c r="G26" s="6" t="n">
        <v>9</v>
      </c>
      <c r="H26" s="23" t="n">
        <v>20</v>
      </c>
      <c r="I26" s="40" t="n">
        <v>0.645</v>
      </c>
      <c r="J26" s="41" t="inlineStr">
        <is>
          <t>ค่อนข้างง่าย (Fairly Easy)</t>
        </is>
      </c>
    </row>
    <row r="27">
      <c r="A27" s="21" t="n">
        <v>22</v>
      </c>
      <c r="B27" s="32" t="inlineStr">
        <is>
          <t>ค</t>
        </is>
      </c>
      <c r="C27" s="22" t="inlineStr">
        <is>
          <t>หน่วยที่ 3: ไวยากรณ์เริ่มต้น CSS Grid</t>
        </is>
      </c>
      <c r="D27" s="6" t="n">
        <v>8</v>
      </c>
      <c r="E27" s="6" t="n">
        <v>5</v>
      </c>
      <c r="F27" s="37" t="n">
        <v>13</v>
      </c>
      <c r="G27" s="6" t="n">
        <v>5</v>
      </c>
      <c r="H27" s="23" t="n">
        <v>13</v>
      </c>
      <c r="I27" s="38" t="n">
        <v>0.419</v>
      </c>
      <c r="J27" s="39" t="inlineStr">
        <is>
          <t>ยากปานกลาง (Optimal / Good)</t>
        </is>
      </c>
    </row>
    <row r="28">
      <c r="A28" s="21" t="n">
        <v>23</v>
      </c>
      <c r="B28" s="32" t="inlineStr">
        <is>
          <t>ง</t>
        </is>
      </c>
      <c r="C28" s="22" t="inlineStr">
        <is>
          <t>หน่วยที่ 3: หน่วยเศษส่วน fr (Fraction)</t>
        </is>
      </c>
      <c r="D28" s="6" t="n">
        <v>7</v>
      </c>
      <c r="E28" s="6" t="n">
        <v>8</v>
      </c>
      <c r="F28" s="6" t="n">
        <v>0</v>
      </c>
      <c r="G28" s="37" t="n">
        <v>16</v>
      </c>
      <c r="H28" s="23" t="n">
        <v>16</v>
      </c>
      <c r="I28" s="38" t="n">
        <v>0.516</v>
      </c>
      <c r="J28" s="39" t="inlineStr">
        <is>
          <t>ยากปานกลาง (Optimal / Good)</t>
        </is>
      </c>
    </row>
    <row r="29">
      <c r="A29" s="21" t="n">
        <v>24</v>
      </c>
      <c r="B29" s="32" t="inlineStr">
        <is>
          <t>ข</t>
        </is>
      </c>
      <c r="C29" s="22" t="inlineStr">
        <is>
          <t>หน่วยที่ 3: การใช้ฟังก์ชัน repeat()</t>
        </is>
      </c>
      <c r="D29" s="6" t="n">
        <v>4</v>
      </c>
      <c r="E29" s="37" t="n">
        <v>14</v>
      </c>
      <c r="F29" s="6" t="n">
        <v>9</v>
      </c>
      <c r="G29" s="6" t="n">
        <v>4</v>
      </c>
      <c r="H29" s="23" t="n">
        <v>14</v>
      </c>
      <c r="I29" s="38" t="n">
        <v>0.452</v>
      </c>
      <c r="J29" s="39" t="inlineStr">
        <is>
          <t>ยากปานกลาง (Optimal / Good)</t>
        </is>
      </c>
    </row>
    <row r="30">
      <c r="A30" s="21" t="n">
        <v>25</v>
      </c>
      <c r="B30" s="32" t="inlineStr">
        <is>
          <t>ก</t>
        </is>
      </c>
      <c r="C30" s="22" t="inlineStr">
        <is>
          <t>หน่วยที่ 3: การตัดขึ้นแถวใหม่อัตโนมัติ</t>
        </is>
      </c>
      <c r="D30" s="37" t="n">
        <v>16</v>
      </c>
      <c r="E30" s="6" t="n">
        <v>5</v>
      </c>
      <c r="F30" s="6" t="n">
        <v>5</v>
      </c>
      <c r="G30" s="6" t="n">
        <v>5</v>
      </c>
      <c r="H30" s="23" t="n">
        <v>16</v>
      </c>
      <c r="I30" s="38" t="n">
        <v>0.516</v>
      </c>
      <c r="J30" s="39" t="inlineStr">
        <is>
          <t>ยากปานกลาง (Optimal / Good)</t>
        </is>
      </c>
    </row>
    <row r="31">
      <c r="A31" s="21" t="n">
        <v>26</v>
      </c>
      <c r="B31" s="32" t="inlineStr">
        <is>
          <t>ง</t>
        </is>
      </c>
      <c r="C31" s="22" t="inlineStr">
        <is>
          <t>หน่วยที่ 3: ประโยชน์ของคำสั่ง gap</t>
        </is>
      </c>
      <c r="D31" s="6" t="n">
        <v>5</v>
      </c>
      <c r="E31" s="6" t="n">
        <v>4</v>
      </c>
      <c r="F31" s="6" t="n">
        <v>2</v>
      </c>
      <c r="G31" s="37" t="n">
        <v>20</v>
      </c>
      <c r="H31" s="23" t="n">
        <v>20</v>
      </c>
      <c r="I31" s="40" t="n">
        <v>0.645</v>
      </c>
      <c r="J31" s="41" t="inlineStr">
        <is>
          <t>ค่อนข้างง่าย (Fairly Easy)</t>
        </is>
      </c>
    </row>
    <row r="32">
      <c r="A32" s="21" t="n">
        <v>27</v>
      </c>
      <c r="B32" s="32" t="inlineStr">
        <is>
          <t>ค</t>
        </is>
      </c>
      <c r="C32" s="22" t="inlineStr">
        <is>
          <t>หน่วยที่ 3: การขยายแถวด้วย grid-row</t>
        </is>
      </c>
      <c r="D32" s="6" t="n">
        <v>12</v>
      </c>
      <c r="E32" s="6" t="n">
        <v>5</v>
      </c>
      <c r="F32" s="37" t="n">
        <v>10</v>
      </c>
      <c r="G32" s="6" t="n">
        <v>4</v>
      </c>
      <c r="H32" s="23" t="n">
        <v>10</v>
      </c>
      <c r="I32" s="43" t="n">
        <v>0.323</v>
      </c>
      <c r="J32" s="44" t="inlineStr">
        <is>
          <t>ค่อนข้างยาก (Fairly Hard)</t>
        </is>
      </c>
    </row>
    <row r="33">
      <c r="A33" s="21" t="n">
        <v>28</v>
      </c>
      <c r="B33" s="32" t="inlineStr">
        <is>
          <t>ข</t>
        </is>
      </c>
      <c r="C33" s="22" t="inlineStr">
        <is>
          <t>หน่วยที่ 3: การรวมเซลล์ใน grid-template-areas</t>
        </is>
      </c>
      <c r="D33" s="6" t="n">
        <v>10</v>
      </c>
      <c r="E33" s="37" t="n">
        <v>18</v>
      </c>
      <c r="F33" s="6" t="n">
        <v>2</v>
      </c>
      <c r="G33" s="6" t="n">
        <v>1</v>
      </c>
      <c r="H33" s="23" t="n">
        <v>18</v>
      </c>
      <c r="I33" s="38" t="n">
        <v>0.581</v>
      </c>
      <c r="J33" s="39" t="inlineStr">
        <is>
          <t>ยากปานกลาง (Optimal / Good)</t>
        </is>
      </c>
    </row>
    <row r="34">
      <c r="A34" s="21" t="n">
        <v>29</v>
      </c>
      <c r="B34" s="32" t="inlineStr">
        <is>
          <t>ง</t>
        </is>
      </c>
      <c r="C34" s="22" t="inlineStr">
        <is>
          <t>หน่วยที่ 3: คุณสมบัติ grid-area ในการผูกพื้นที่</t>
        </is>
      </c>
      <c r="D34" s="6" t="n">
        <v>9</v>
      </c>
      <c r="E34" s="6" t="n">
        <v>7</v>
      </c>
      <c r="F34" s="6" t="n">
        <v>8</v>
      </c>
      <c r="G34" s="37" t="n">
        <v>7</v>
      </c>
      <c r="H34" s="23" t="n">
        <v>7</v>
      </c>
      <c r="I34" s="43" t="n">
        <v>0.226</v>
      </c>
      <c r="J34" s="44" t="inlineStr">
        <is>
          <t>ค่อนข้างยาก (Fairly Hard)</t>
        </is>
      </c>
    </row>
    <row r="35">
      <c r="A35" s="21" t="n">
        <v>30</v>
      </c>
      <c r="B35" s="32" t="inlineStr">
        <is>
          <t>ค</t>
        </is>
      </c>
      <c r="C35" s="22" t="inlineStr">
        <is>
          <t>หน่วยที่ 3: กฎ 8pt Spacing System</t>
        </is>
      </c>
      <c r="D35" s="6" t="n">
        <v>4</v>
      </c>
      <c r="E35" s="6" t="n">
        <v>6</v>
      </c>
      <c r="F35" s="37" t="n">
        <v>13</v>
      </c>
      <c r="G35" s="6" t="n">
        <v>8</v>
      </c>
      <c r="H35" s="23" t="n">
        <v>13</v>
      </c>
      <c r="I35" s="38" t="n">
        <v>0.419</v>
      </c>
      <c r="J35" s="39" t="inlineStr">
        <is>
          <t>ยากปานกลาง (Optimal / Good)</t>
        </is>
      </c>
    </row>
    <row r="36">
      <c r="A36" s="14" t="inlineStr">
        <is>
          <t>-</t>
        </is>
      </c>
      <c r="B36" s="14" t="inlineStr">
        <is>
          <t>-</t>
        </is>
      </c>
      <c r="C36" s="31" t="inlineStr">
        <is>
          <t>ค่าเฉลี่ยดัชนีความยากง่ายทั้งฉบับ</t>
        </is>
      </c>
      <c r="D36" s="45" t="n"/>
      <c r="E36" s="45" t="n"/>
      <c r="F36" s="45" t="n"/>
      <c r="G36" s="45" t="n"/>
      <c r="H36" s="14">
        <f>ROUND(AVERAGE(H6:H35), 2)</f>
        <v/>
      </c>
      <c r="I36" s="46">
        <f>ROUND(AVERAGE(I6:I35), 3)</f>
        <v/>
      </c>
      <c r="J36" s="14" t="inlineStr">
        <is>
          <t>ยากปานกลาง (เหมาะสมดีมาก)</t>
        </is>
      </c>
    </row>
  </sheetData>
  <mergeCells count="3">
    <mergeCell ref="A4:C4"/>
    <mergeCell ref="H4:J4"/>
    <mergeCell ref="D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6" customWidth="1" min="3" max="3"/>
    <col width="110" customWidth="1" min="4" max="4"/>
  </cols>
  <sheetData>
    <row r="1">
      <c r="A1" s="1" t="inlineStr">
        <is>
          <t>📖 คู่มือเฉลยข้อสอบและคำอธิบายเชิงวิชาการอย่างละเอียด</t>
        </is>
      </c>
    </row>
    <row r="2">
      <c r="A2" s="2" t="inlineStr">
        <is>
          <t>รหัสวิชา 21909-1006 วิชา พื้นฐานการสร้างเว็บไซต์  |  ตอนที่ 1 แบบทดสอบปรนัย (30 ข้อ 30 คะแนน)</t>
        </is>
      </c>
    </row>
    <row r="4">
      <c r="A4" s="4" t="inlineStr">
        <is>
          <t>ข้อที่</t>
        </is>
      </c>
      <c r="B4" s="4" t="inlineStr">
        <is>
          <t>เฉลย</t>
        </is>
      </c>
      <c r="C4" s="4" t="inlineStr">
        <is>
          <t>สาระการเรียนรู้ / หน่วย</t>
        </is>
      </c>
      <c r="D4" s="4" t="inlineStr">
        <is>
          <t>คำอธิบายเหตุผลเฉลยตามเกณฑ์หลักสูตร</t>
        </is>
      </c>
    </row>
    <row r="5">
      <c r="A5" s="25" t="n">
        <v>1</v>
      </c>
      <c r="B5" s="32" t="inlineStr">
        <is>
          <t>ข</t>
        </is>
      </c>
      <c r="C5" s="26" t="inlineStr">
        <is>
          <t>หน่วยที่ 1: ความหมาย Information Architecture</t>
        </is>
      </c>
      <c r="D5" s="26" t="inlineStr">
        <is>
          <t>IA คือกระบวนการจัดระเบียบ จัดหมวดหมู่ และวางโครงสร้างลำดับชั้นของข้อมูลในเว็บไซต์ เพื่อให้ผู้ใช้งานสามารถค้นหาข้อมูลที่ต้องการได้อย่างสะดวก รวดเร็ว และไม่สับสน</t>
        </is>
      </c>
    </row>
    <row r="6">
      <c r="A6" s="21" t="n">
        <v>2</v>
      </c>
      <c r="B6" s="32" t="inlineStr">
        <is>
          <t>ก</t>
        </is>
      </c>
      <c r="C6" s="22" t="inlineStr">
        <is>
          <t>หน่วยที่ 1: หลักการ Categorization</t>
        </is>
      </c>
      <c r="D6" s="22" t="inlineStr">
        <is>
          <t>การนำข้อมูลประเภทเดียวกัน เช่น เสื้อผ้า รองเท้า อุปกรณ์ มารวบรวมไว้เป็นกลุ่มเดียวกัน เป็นนิยามตรงตัวของหลักการ Categorization (การจัดกลุ่มข้อมูล)</t>
        </is>
      </c>
    </row>
    <row r="7">
      <c r="A7" s="25" t="n">
        <v>3</v>
      </c>
      <c r="B7" s="32" t="inlineStr">
        <is>
          <t>ค</t>
        </is>
      </c>
      <c r="C7" s="26" t="inlineStr">
        <is>
          <t>หน่วยที่ 1: หลักการ Labeling</t>
        </is>
      </c>
      <c r="D7" s="26" t="inlineStr">
        <is>
          <t>การตั้งชื่อฉลากหรือเมนูที่ดีตามหลัก UX ต้องใช้คำศัพท์ที่เรียบง่าย สื่อความหมายตรงไปตรงมา และตรงกับความเข้าใจของผู้ใช้ทั่วไป เช่น 'ค้นหาสินค้า' ไม่ควรใช้ศัพท์เทคนิคเชิงโปรแกรมมิ่ง</t>
        </is>
      </c>
    </row>
    <row r="8">
      <c r="A8" s="21" t="n">
        <v>4</v>
      </c>
      <c r="B8" s="32" t="inlineStr">
        <is>
          <t>ง</t>
        </is>
      </c>
      <c r="C8" s="22" t="inlineStr">
        <is>
          <t>หน่วยที่ 1: User Journey vs User Flow</t>
        </is>
      </c>
      <c r="D8" s="22" t="inlineStr">
        <is>
          <t>User Journey คือภาพรวมประสบการณ์ อารมณ์ และความรู้สึกของผู้ใช้ตลอดเส้นทาง ส่วน User Flow คือผังแสดงขั้นตอนการทำงานเชิงเทคนิค (Step-by-Step Diagram) ว่าต้องคลิกผ่านหน้าจอใดบ้าง</t>
        </is>
      </c>
    </row>
    <row r="9">
      <c r="A9" s="25" t="n">
        <v>5</v>
      </c>
      <c r="B9" s="32" t="inlineStr">
        <is>
          <t>ข</t>
        </is>
      </c>
      <c r="C9" s="26" t="inlineStr">
        <is>
          <t>หน่วยที่ 1: การเขียนผัง User Flow</t>
        </is>
      </c>
      <c r="D9" s="26" t="inlineStr">
        <is>
          <t>ผัง User Flow มุ่งเน้นแสดงขั้นตอนการตัดสินใจ (Decision Point) และเส้นทางการคลิกของยูสเซอร์ เช่น เงื่อนไขตรวจสอบสถานะล็อกอิน เพื่อนำทางไปยังหน้าจอถัดไปที่ถูกต้อง</t>
        </is>
      </c>
    </row>
    <row r="10">
      <c r="A10" s="21" t="n">
        <v>6</v>
      </c>
      <c r="B10" s="32" t="inlineStr">
        <is>
          <t>ก</t>
        </is>
      </c>
      <c r="C10" s="22" t="inlineStr">
        <is>
          <t>หน่วยที่ 1: บทบาทของแผนผังเว็บไซต์ (Sitemap)</t>
        </is>
      </c>
      <c r="D10" s="22" t="inlineStr">
        <is>
          <t>Sitemap เป็นแผนภาพแสดงความสัมพันธ์ระหว่างหน้าทั้งหมดในเว็บไซต์ เพื่อให้เห็นโครงสร้างภาพรวมของระบบก่อนที่จะเริ่มลงมือออกแบบและเขียนโค้ดจริง</t>
        </is>
      </c>
    </row>
    <row r="11">
      <c r="A11" s="25" t="n">
        <v>7</v>
      </c>
      <c r="B11" s="32" t="inlineStr">
        <is>
          <t>ค</t>
        </is>
      </c>
      <c r="C11" s="26" t="inlineStr">
        <is>
          <t>หน่วยที่ 1: เหตุผลที่ Wireframe ใช้ขาว-ดำ</t>
        </is>
      </c>
      <c r="D11" s="26" t="inlineStr">
        <is>
          <t>การลงสีสวยงามตั้งแต่แรกจะทำให้ผู้ใช้หรือลูกค้าหลอกตาและหลงประเด็น (เช่น โฟกัสเรื่องสีปุ่มมากกว่าหน้าที่ของปุ่ม) การใช้ขาว-ดำ-เทาจึงช่วยให้ทุกคนโฟกัสที่ Layout และ Functionality</t>
        </is>
      </c>
    </row>
    <row r="12">
      <c r="A12" s="21" t="n">
        <v>8</v>
      </c>
      <c r="B12" s="32" t="inlineStr">
        <is>
          <t>ข</t>
        </is>
      </c>
      <c r="C12" s="22" t="inlineStr">
        <is>
          <t>หน่วยที่ 1: ข้อดีของการร่าง Wireframe</t>
        </is>
      </c>
      <c r="D12" s="22" t="inlineStr">
        <is>
          <t>การปรับเปลี่ยนโครงสร้างหน้าเว็บบน Wireframe ทำได้รวดเร็วและใช้ต้นทุนต่ำมาก หากไปรื้อแก้ไขหลังจากทำ Hi-Fi Mockup หรือเขียนโค้ดเสร็จแล้ว จะต้องเสียเวลาและแรงงานมากกว่ามหาศาล</t>
        </is>
      </c>
    </row>
    <row r="13">
      <c r="A13" s="25" t="n">
        <v>9</v>
      </c>
      <c r="B13" s="32" t="inlineStr">
        <is>
          <t>ง</t>
        </is>
      </c>
      <c r="C13" s="26" t="inlineStr">
        <is>
          <t>หน่วยที่ 1: องค์ประกอบที่ไม่ควรมีใน Wireframe</t>
        </is>
      </c>
      <c r="D13" s="26" t="inlineStr">
        <is>
          <t>รูปภาพถ่ายจริงความละเอียดสูงและตกแต่งสีสันสมบูรณ์ เป็นองค์ประกอบของขั้นตอน High-Fidelity Mockup ไม่ควรนำมาใส่ในขั้นตอน Low-Fidelity Wireframe</t>
        </is>
      </c>
    </row>
    <row r="14">
      <c r="A14" s="21" t="n">
        <v>10</v>
      </c>
      <c r="B14" s="32" t="inlineStr">
        <is>
          <t>ก</t>
        </is>
      </c>
      <c r="C14" s="22" t="inlineStr">
        <is>
          <t>หน่วยที่ 1: หัวใจหลักของ Blueprint (Wireframe)</t>
        </is>
      </c>
      <c r="D14" s="22" t="inlineStr">
        <is>
          <t>Wireframe ทำหน้าที่เป็นแบบแปลน (Blueprint) จึงต้องเน้น 3 ด้านหลัก ได้แก่ ตำแหน่งข้อมูล (Layout), ลำดับความสำคัญ (Hierarchy) และฟังก์ชันการทำงาน (Functionality)</t>
        </is>
      </c>
    </row>
    <row r="15">
      <c r="A15" s="25" t="n">
        <v>11</v>
      </c>
      <c r="B15" s="32" t="inlineStr">
        <is>
          <t>ค</t>
        </is>
      </c>
      <c r="C15" s="26" t="inlineStr">
        <is>
          <t>หน่วยที่ 2: แม่สีและการผสมสีขั้นที่ 2</t>
        </is>
      </c>
      <c r="D15" s="26" t="inlineStr">
        <is>
          <t>ในวงจรสี (Color Wheel) แม่สีขั้นที่ 1 ได้แก่ แดง เหลือง น้ำเงิน โดย สีแดง + สีน้ำเงิน = สีม่วง ซึ่งเป็นสีขั้นที่ 2 (Secondary Color)</t>
        </is>
      </c>
    </row>
    <row r="16">
      <c r="A16" s="21" t="n">
        <v>12</v>
      </c>
      <c r="B16" s="32" t="inlineStr">
        <is>
          <t>ข</t>
        </is>
      </c>
      <c r="C16" s="22" t="inlineStr">
        <is>
          <t>หน่วยที่ 2: สีวรรณะกึ่งกลาง (Neutral Temperature)</t>
        </is>
      </c>
      <c r="D16" s="22" t="inlineStr">
        <is>
          <t>สีเหลืองและสีม่วง เป็นสีที่อยู่ตรงรอยต่อระหว่างวรรณะร้อนและวรรณะเย็น สามารถเปลี่ยนวรรณะไปตามสีแวดล้อมที่อยู่รอบข้างได้</t>
        </is>
      </c>
    </row>
    <row r="17">
      <c r="A17" s="25" t="n">
        <v>13</v>
      </c>
      <c r="B17" s="32" t="inlineStr">
        <is>
          <t>ก</t>
        </is>
      </c>
      <c r="C17" s="26" t="inlineStr">
        <is>
          <t>หน่วยที่ 2: จิตวิทยาสีวรรณะร้อน (Warm Tone)</t>
        </is>
      </c>
      <c r="D17" s="26" t="inlineStr">
        <is>
          <t>สีวรรณะร้อน (แดง, ส้ม, เหลือง) ให้ความรู้สึกอบอุ่น มีพลัง สนุกสนาน และมีผลทางจิตวิทยาช่วยกระตุ้นความอยากอาหาร จึงนิยมใช้ในเว็บอาหารและคาเฟ่</t>
        </is>
      </c>
    </row>
    <row r="18">
      <c r="A18" s="21" t="n">
        <v>14</v>
      </c>
      <c r="B18" s="32" t="inlineStr">
        <is>
          <t>ง</t>
        </is>
      </c>
      <c r="C18" s="22" t="inlineStr">
        <is>
          <t>หน่วยที่ 2: ประโยชน์ของคู่สี Complementary</t>
        </is>
      </c>
      <c r="D18" s="22" t="inlineStr">
        <is>
          <t>สีคู่ตรงข้าม (Complementary) สร้างความเปรียบต่าง (Contrast) สูงสุด ช่วยเน้นย้ำจุดที่ต้องการให้ผู้ใช้สังเกตเห็นทันที เช่น ปุ่ม Call to Action (CTA)</t>
        </is>
      </c>
    </row>
    <row r="19">
      <c r="A19" s="25" t="n">
        <v>15</v>
      </c>
      <c r="B19" s="32" t="inlineStr">
        <is>
          <t>ข</t>
        </is>
      </c>
      <c r="C19" s="26" t="inlineStr">
        <is>
          <t>หน่วยที่ 2: กฎสัดส่วน Color Palette</t>
        </is>
      </c>
      <c r="D19" s="26" t="inlineStr">
        <is>
          <t>สัดส่วนมาตรฐานของ Color Palette ในงาน UI คือ Primary Color ประมาณ 60% ของพื้นที่, Accent Color 10-20% สำหรับจุดดึงดูดสายตา และ Neutral Color (ขาว เทา ดำ) สำหรับพื้นหลังและตัวหนังสือ</t>
        </is>
      </c>
    </row>
    <row r="20">
      <c r="A20" s="21" t="n">
        <v>16</v>
      </c>
      <c r="B20" s="32" t="inlineStr">
        <is>
          <t>ค</t>
        </is>
      </c>
      <c r="C20" s="22" t="inlineStr">
        <is>
          <t>หน่วยที่ 2: การเลือก Typography ใน Body Text</t>
        </is>
      </c>
      <c r="D20" s="22" t="inlineStr">
        <is>
          <t>เนื้อหาบทความบนหน้าจอควรใช้ฟอนต์สไตล์ Sans-Serif ที่สะอาด อ่านง่าย (Clean &amp; Modern) พร้อมทั้งกำหนด Line-height (ระยะห่างบรรทัด) ให้สบายตา</t>
        </is>
      </c>
    </row>
    <row r="21">
      <c r="A21" s="25" t="n">
        <v>17</v>
      </c>
      <c r="B21" s="32" t="inlineStr">
        <is>
          <t>ก</t>
        </is>
      </c>
      <c r="C21" s="26" t="inlineStr">
        <is>
          <t>หน่วยที่ 2: ความสอดคล้องของชุดไอคอน</t>
        </is>
      </c>
      <c r="D21" s="26" t="inlineStr">
        <is>
          <t>Iconography ที่ดีต้องรักษา Consistency โดยกำหนดน้ำหนักเส้น (Stroke), รัศมีมุมโค้ง (Corner Radius) และสไตล์ (Line Art หรือ Solid Fill) ให้เป็นมาตรฐานเดียวกันทั้งเว็บ</t>
        </is>
      </c>
    </row>
    <row r="22">
      <c r="A22" s="21" t="n">
        <v>18</v>
      </c>
      <c r="B22" s="32" t="inlineStr">
        <is>
          <t>ง</t>
        </is>
      </c>
      <c r="C22" s="22" t="inlineStr">
        <is>
          <t>หน่วยที่ 2: Grid System ใน Responsive Design</t>
        </is>
      </c>
      <c r="D22" s="22" t="inlineStr">
        <is>
          <t>ตามมาตรฐานสากล หน้าจอคอมพิวเตอร์ (Desktop/Web) นิยมแบ่งเป็น 12 คอลัมน์ เพื่อความยืดหยุ่นในการจัดเลย์เอาต์ ส่วนหน้าจอมือถือ (Mobile) นิยมใช้ 4 คอลัมน์</t>
        </is>
      </c>
    </row>
    <row r="23">
      <c r="A23" s="25" t="n">
        <v>19</v>
      </c>
      <c r="B23" s="32" t="inlineStr">
        <is>
          <t>ข</t>
        </is>
      </c>
      <c r="C23" s="26" t="inlineStr">
        <is>
          <t>หน่วยที่ 2: ลำดับชั้น Atomic Design (Molecules)</t>
        </is>
      </c>
      <c r="D23" s="26" t="inlineStr">
        <is>
          <t>Molecules เกิดจากการนำ Atoms มารวมกันทำงานเฉพาะอย่าง เช่น การนำ Label + Input + Button มารวมกันเป็น 'กล่องค้นหา (Search Box)'</t>
        </is>
      </c>
    </row>
    <row r="24">
      <c r="A24" s="21" t="n">
        <v>20</v>
      </c>
      <c r="B24" s="32" t="inlineStr">
        <is>
          <t>ค</t>
        </is>
      </c>
      <c r="C24" s="22" t="inlineStr">
        <is>
          <t>หน่วยที่ 2: หลัก Visual Hierarchy กับปุ่ม CTA</t>
        </is>
      </c>
      <c r="D24" s="22" t="inlineStr">
        <is>
          <t>การชี้นำสายตาไปยังปุ่ม Call-to-Action ที่ได้ผลดีที่สุด คือการใช้สีที่ตัดกับพื้นหลัง (Contrast), ขนาดที่โดดเด่น (Scale) และการเว้นพื้นที่ว่างรอบปุ่ม (Whitespace) เพื่อลดความแออัด</t>
        </is>
      </c>
    </row>
    <row r="25">
      <c r="A25" s="25" t="n">
        <v>21</v>
      </c>
      <c r="B25" s="32" t="inlineStr">
        <is>
          <t>ก</t>
        </is>
      </c>
      <c r="C25" s="26" t="inlineStr">
        <is>
          <t>หน่วยที่ 3: ข้อเปรียบเทียบ CSS Grid vs Flexbox</t>
        </is>
      </c>
      <c r="D25" s="26" t="inlineStr">
        <is>
          <t>CSS Grid ถูกออกแบบมาสำหรับการจัดเลย์เอาต์แบบ 2 มิติ (แถวและคอลัมน์พร้อมกัน) จึงเหมาะกับโครงสร้างหน้าเว็บหลัก ส่วน Flexbox เหมาะกับการจัดวางในแนวระนาบเดียว (1 มิติ)</t>
        </is>
      </c>
    </row>
    <row r="26">
      <c r="A26" s="21" t="n">
        <v>22</v>
      </c>
      <c r="B26" s="32" t="inlineStr">
        <is>
          <t>ค</t>
        </is>
      </c>
      <c r="C26" s="22" t="inlineStr">
        <is>
          <t>หน่วยที่ 3: ไวยากรณ์เริ่มต้น CSS Grid</t>
        </is>
      </c>
      <c r="D26" s="22" t="inlineStr">
        <is>
          <t>การเปิดใช้งานคอนเทนเนอร์ให้เป็นระบบ CSS Grid ต้องกำหนดคุณสมบัติ display: grid;</t>
        </is>
      </c>
    </row>
    <row r="27">
      <c r="A27" s="25" t="n">
        <v>23</v>
      </c>
      <c r="B27" s="32" t="inlineStr">
        <is>
          <t>ง</t>
        </is>
      </c>
      <c r="C27" s="26" t="inlineStr">
        <is>
          <t>หน่วยที่ 3: หน่วยเศษส่วน fr (Fraction)</t>
        </is>
      </c>
      <c r="D27" s="26" t="inlineStr">
        <is>
          <t>grid-template-columns: 1fr 2fr 1fr; แปลว่าพื้นที่ความกว้างทั้งหมดจะถูกแบ่งออกเป็น 4 ส่วน โดยคอลัมน์กลางจะได้รับพื้นที่ 2 ส่วน (กว้างเป็น 2 เท่าของคอลัมน์ซ้ายและขวา)</t>
        </is>
      </c>
    </row>
    <row r="28">
      <c r="A28" s="21" t="n">
        <v>24</v>
      </c>
      <c r="B28" s="32" t="inlineStr">
        <is>
          <t>ข</t>
        </is>
      </c>
      <c r="C28" s="22" t="inlineStr">
        <is>
          <t>หน่วยที่ 3: การใช้ฟังก์ชัน repeat()</t>
        </is>
      </c>
      <c r="D28" s="22" t="inlineStr">
        <is>
          <t>คำสั่ง repeat(4, 1fr) มีความหมายตรงตัวว่าทำซ้ำคอลัมน์ขนาด 1fr จำนวน 4 ครั้ง ซึ่งเทียบเท่ากับ 1fr 1fr 1fr 1fr</t>
        </is>
      </c>
    </row>
    <row r="29">
      <c r="A29" s="25" t="n">
        <v>25</v>
      </c>
      <c r="B29" s="32" t="inlineStr">
        <is>
          <t>ก</t>
        </is>
      </c>
      <c r="C29" s="26" t="inlineStr">
        <is>
          <t>หน่วยที่ 3: การตัดขึ้นแถวใหม่อัตโนมัติ</t>
        </is>
      </c>
      <c r="D29" s="26" t="inlineStr">
        <is>
          <t>เมื่อคอนเทนเนอร์กำหนดไว้ 3 คอลัมน์ กล่องที่ 1–3 จะอยู่แถวแรก และกล่องที่ 4 จะถูกตัดขึ้นแถวใหม่และแสดงเป็นคอลัมน์แรกของแถวที่ 2 โดยอัตโนมัติ</t>
        </is>
      </c>
    </row>
    <row r="30">
      <c r="A30" s="21" t="n">
        <v>26</v>
      </c>
      <c r="B30" s="32" t="inlineStr">
        <is>
          <t>ง</t>
        </is>
      </c>
      <c r="C30" s="22" t="inlineStr">
        <is>
          <t>หน่วยที่ 3: ประโยชน์ของคำสั่ง gap</t>
        </is>
      </c>
      <c r="D30" s="22" t="inlineStr">
        <is>
          <t>gap ช่วยสร้างระยะห่างระหว่าง Item ได้พอดีทั้งแถวและคอลัมน์ โดยไม่สร้างระยะขอบส่วนเกินที่ขอบนอกสุดเหมือนการใส่ margin ทีละกล่อง</t>
        </is>
      </c>
    </row>
    <row r="31">
      <c r="A31" s="25" t="n">
        <v>27</v>
      </c>
      <c r="B31" s="32" t="inlineStr">
        <is>
          <t>ค</t>
        </is>
      </c>
      <c r="C31" s="26" t="inlineStr">
        <is>
          <t>หน่วยที่ 3: การขยายแถวด้วย grid-row</t>
        </is>
      </c>
      <c r="D31" s="26" t="inlineStr">
        <is>
          <t>หากต้องการให้อิลิเมนต์ขยายครอบคลุมพื้นที่ในแนวดิ่ง (แถว) จำนวน 2 ช่อง ต้องใช้คำสั่ง grid-row: span 2;</t>
        </is>
      </c>
    </row>
    <row r="32">
      <c r="A32" s="21" t="n">
        <v>28</v>
      </c>
      <c r="B32" s="32" t="inlineStr">
        <is>
          <t>ข</t>
        </is>
      </c>
      <c r="C32" s="22" t="inlineStr">
        <is>
          <t>หน่วยที่ 3: การรวมเซลล์ใน grid-template-areas</t>
        </is>
      </c>
      <c r="D32" s="22" t="inlineStr">
        <is>
          <t>ใน grid-template-areas คำที่ซ้ำกันติดกันในแถวเดียวกัน เช่น 'header header' หมายถึงช่องของคอลัมน์ที่ 1 และ 2 ถูกรวม (Merge) เข้าด้วยกันเป็นแถบยาวผืนเดียว</t>
        </is>
      </c>
    </row>
    <row r="33">
      <c r="A33" s="25" t="n">
        <v>29</v>
      </c>
      <c r="B33" s="32" t="inlineStr">
        <is>
          <t>ง</t>
        </is>
      </c>
      <c r="C33" s="26" t="inlineStr">
        <is>
          <t>หน่วยที่ 3: คุณสมบัติ grid-area ในการผูกพื้นที่</t>
        </is>
      </c>
      <c r="D33" s="26" t="inlineStr">
        <is>
          <t>การระบุชื่อพื้นที่ให้กับอิลิเมนต์ลูกเพื่อนำไปจับคู่กับเทมเพลต ต้องใช้คำสั่ง grid-area: header;</t>
        </is>
      </c>
    </row>
    <row r="34">
      <c r="A34" s="21" t="n">
        <v>30</v>
      </c>
      <c r="B34" s="32" t="inlineStr">
        <is>
          <t>ค</t>
        </is>
      </c>
      <c r="C34" s="22" t="inlineStr">
        <is>
          <t>หน่วยที่ 3: กฎ 8pt Spacing System</t>
        </is>
      </c>
      <c r="D34" s="22" t="inlineStr">
        <is>
          <t>ในระบบ 8pt Spacing System ค่าตัวเลขต้องเป็นพหุคูณที่หารด้วย 8 ลงตัวเสมอ (เช่น 8px, 16px, 24px, 32px, 40px, 48px) ดังนั้น 22px จึงไม่สอดคล้องกับระบบนี้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2026-09-14T17:02:08Z</dcterms:created>
  <dcterms:modified xmlns:dcterms="http://purl.org/dc/terms/" xmlns:xsi="http://www.w3.org/2001/XMLSchema-instance" xsi:type="dcterms:W3CDTF">2026-09-14T18:42:32Z</dcterms:modified>
</cp:coreProperties>
</file>