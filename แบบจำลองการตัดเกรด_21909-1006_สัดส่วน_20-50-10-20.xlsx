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wsk\Downloads\1ชทค\"/>
    </mc:Choice>
  </mc:AlternateContent>
  <xr:revisionPtr revIDLastSave="0" documentId="13_ncr:1_{B455F79B-CDDC-439A-A868-892ADC8A1226}" xr6:coauthVersionLast="47" xr6:coauthVersionMax="47" xr10:uidLastSave="{00000000-0000-0000-0000-000000000000}"/>
  <bookViews>
    <workbookView xWindow="750" yWindow="1935" windowWidth="34020" windowHeight="18945" activeTab="3" xr2:uid="{00000000-000D-0000-FFFF-FFFF00000000}"/>
  </bookViews>
  <sheets>
    <sheet name="สรุปภาพรวมและสถิติเกรด" sheetId="1" r:id="rId1"/>
    <sheet name="ตัดเกรด ห้อง 1" sheetId="2" r:id="rId2"/>
    <sheet name="ตัดเกรด ห้อง 2" sheetId="3" r:id="rId3"/>
    <sheet name="ตัดเกรด รวม 2 ห้อง (34 คน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4" i="4" l="1"/>
  <c r="M44" i="4"/>
  <c r="L44" i="4"/>
  <c r="K44" i="4"/>
  <c r="J44" i="4"/>
  <c r="I44" i="4"/>
  <c r="H44" i="4"/>
  <c r="G44" i="4"/>
  <c r="F44" i="4"/>
  <c r="I41" i="4"/>
  <c r="L40" i="4"/>
  <c r="K40" i="4"/>
  <c r="I40" i="4"/>
  <c r="H40" i="4"/>
  <c r="G40" i="4"/>
  <c r="F40" i="4"/>
  <c r="E40" i="4"/>
  <c r="D40" i="4"/>
  <c r="C40" i="4"/>
  <c r="K39" i="4"/>
  <c r="I39" i="4"/>
  <c r="H39" i="4"/>
  <c r="G39" i="4"/>
  <c r="F39" i="4"/>
  <c r="E39" i="4"/>
  <c r="D39" i="4"/>
  <c r="C39" i="4"/>
  <c r="L38" i="4"/>
  <c r="K38" i="4"/>
  <c r="J38" i="4"/>
  <c r="I38" i="4"/>
  <c r="G38" i="4"/>
  <c r="F38" i="4"/>
  <c r="E38" i="4"/>
  <c r="D38" i="4"/>
  <c r="C38" i="4"/>
  <c r="L37" i="4"/>
  <c r="K37" i="4"/>
  <c r="I37" i="4"/>
  <c r="G37" i="4"/>
  <c r="F37" i="4"/>
  <c r="E37" i="4"/>
  <c r="D37" i="4"/>
  <c r="C37" i="4"/>
  <c r="K36" i="4"/>
  <c r="I36" i="4"/>
  <c r="H36" i="4"/>
  <c r="G36" i="4"/>
  <c r="F36" i="4"/>
  <c r="E36" i="4"/>
  <c r="D36" i="4"/>
  <c r="C36" i="4"/>
  <c r="K35" i="4"/>
  <c r="J35" i="4"/>
  <c r="I35" i="4"/>
  <c r="G35" i="4"/>
  <c r="F35" i="4"/>
  <c r="E35" i="4"/>
  <c r="D35" i="4"/>
  <c r="C35" i="4"/>
  <c r="L34" i="4"/>
  <c r="K34" i="4"/>
  <c r="I34" i="4"/>
  <c r="G34" i="4"/>
  <c r="F34" i="4"/>
  <c r="E34" i="4"/>
  <c r="D34" i="4"/>
  <c r="C34" i="4"/>
  <c r="K33" i="4"/>
  <c r="J33" i="4"/>
  <c r="I33" i="4"/>
  <c r="H33" i="4"/>
  <c r="G33" i="4"/>
  <c r="F33" i="4"/>
  <c r="E33" i="4"/>
  <c r="D33" i="4"/>
  <c r="C33" i="4"/>
  <c r="K32" i="4"/>
  <c r="J32" i="4"/>
  <c r="I32" i="4"/>
  <c r="G32" i="4"/>
  <c r="F32" i="4"/>
  <c r="E32" i="4"/>
  <c r="D32" i="4"/>
  <c r="C32" i="4"/>
  <c r="L31" i="4"/>
  <c r="K31" i="4"/>
  <c r="I31" i="4"/>
  <c r="G31" i="4"/>
  <c r="F31" i="4"/>
  <c r="E31" i="4"/>
  <c r="D31" i="4"/>
  <c r="C31" i="4"/>
  <c r="K30" i="4"/>
  <c r="I30" i="4"/>
  <c r="H30" i="4"/>
  <c r="G30" i="4"/>
  <c r="F30" i="4"/>
  <c r="E30" i="4"/>
  <c r="D30" i="4"/>
  <c r="C30" i="4"/>
  <c r="K29" i="4"/>
  <c r="J29" i="4"/>
  <c r="I29" i="4"/>
  <c r="G29" i="4"/>
  <c r="F29" i="4"/>
  <c r="E29" i="4"/>
  <c r="D29" i="4"/>
  <c r="C29" i="4"/>
  <c r="L28" i="4"/>
  <c r="K28" i="4"/>
  <c r="I28" i="4"/>
  <c r="H28" i="4"/>
  <c r="G28" i="4"/>
  <c r="F28" i="4"/>
  <c r="E28" i="4"/>
  <c r="D28" i="4"/>
  <c r="C28" i="4"/>
  <c r="K27" i="4"/>
  <c r="I27" i="4"/>
  <c r="H27" i="4"/>
  <c r="G27" i="4"/>
  <c r="F27" i="4"/>
  <c r="E27" i="4"/>
  <c r="D27" i="4"/>
  <c r="C27" i="4"/>
  <c r="L26" i="4"/>
  <c r="K26" i="4"/>
  <c r="J26" i="4"/>
  <c r="I26" i="4"/>
  <c r="G26" i="4"/>
  <c r="F26" i="4"/>
  <c r="E26" i="4"/>
  <c r="D26" i="4"/>
  <c r="C26" i="4"/>
  <c r="L25" i="4"/>
  <c r="K25" i="4"/>
  <c r="I25" i="4"/>
  <c r="G25" i="4"/>
  <c r="F25" i="4"/>
  <c r="E25" i="4"/>
  <c r="D25" i="4"/>
  <c r="C25" i="4"/>
  <c r="K24" i="4"/>
  <c r="I24" i="4"/>
  <c r="H24" i="4"/>
  <c r="G24" i="4"/>
  <c r="F24" i="4"/>
  <c r="E24" i="4"/>
  <c r="D24" i="4"/>
  <c r="C24" i="4"/>
  <c r="K23" i="4"/>
  <c r="J23" i="4"/>
  <c r="I23" i="4"/>
  <c r="G23" i="4"/>
  <c r="F23" i="4"/>
  <c r="E23" i="4"/>
  <c r="D23" i="4"/>
  <c r="C23" i="4"/>
  <c r="L22" i="4"/>
  <c r="K22" i="4"/>
  <c r="I22" i="4"/>
  <c r="G22" i="4"/>
  <c r="F22" i="4"/>
  <c r="E22" i="4"/>
  <c r="D22" i="4"/>
  <c r="C22" i="4"/>
  <c r="K21" i="4"/>
  <c r="J21" i="4"/>
  <c r="I21" i="4"/>
  <c r="H21" i="4"/>
  <c r="G21" i="4"/>
  <c r="F21" i="4"/>
  <c r="E21" i="4"/>
  <c r="D21" i="4"/>
  <c r="C21" i="4"/>
  <c r="K20" i="4"/>
  <c r="J20" i="4"/>
  <c r="I20" i="4"/>
  <c r="G20" i="4"/>
  <c r="F20" i="4"/>
  <c r="E20" i="4"/>
  <c r="D20" i="4"/>
  <c r="C20" i="4"/>
  <c r="L19" i="4"/>
  <c r="K19" i="4"/>
  <c r="I19" i="4"/>
  <c r="G19" i="4"/>
  <c r="F19" i="4"/>
  <c r="E19" i="4"/>
  <c r="D19" i="4"/>
  <c r="C19" i="4"/>
  <c r="K18" i="4"/>
  <c r="I18" i="4"/>
  <c r="H18" i="4"/>
  <c r="G18" i="4"/>
  <c r="F18" i="4"/>
  <c r="E18" i="4"/>
  <c r="D18" i="4"/>
  <c r="C18" i="4"/>
  <c r="K17" i="4"/>
  <c r="J17" i="4"/>
  <c r="I17" i="4"/>
  <c r="G17" i="4"/>
  <c r="F17" i="4"/>
  <c r="E17" i="4"/>
  <c r="D17" i="4"/>
  <c r="C17" i="4"/>
  <c r="L16" i="4"/>
  <c r="K16" i="4"/>
  <c r="I16" i="4"/>
  <c r="H16" i="4"/>
  <c r="G16" i="4"/>
  <c r="F16" i="4"/>
  <c r="E16" i="4"/>
  <c r="D16" i="4"/>
  <c r="C16" i="4"/>
  <c r="K15" i="4"/>
  <c r="I15" i="4"/>
  <c r="H15" i="4"/>
  <c r="G15" i="4"/>
  <c r="F15" i="4"/>
  <c r="E15" i="4"/>
  <c r="D15" i="4"/>
  <c r="C15" i="4"/>
  <c r="L14" i="4"/>
  <c r="K14" i="4"/>
  <c r="J14" i="4"/>
  <c r="I14" i="4"/>
  <c r="G14" i="4"/>
  <c r="F14" i="4"/>
  <c r="E14" i="4"/>
  <c r="D14" i="4"/>
  <c r="C14" i="4"/>
  <c r="L13" i="4"/>
  <c r="K13" i="4"/>
  <c r="I13" i="4"/>
  <c r="G13" i="4"/>
  <c r="F13" i="4"/>
  <c r="E13" i="4"/>
  <c r="D13" i="4"/>
  <c r="C13" i="4"/>
  <c r="K12" i="4"/>
  <c r="I12" i="4"/>
  <c r="H12" i="4"/>
  <c r="G12" i="4"/>
  <c r="F12" i="4"/>
  <c r="E12" i="4"/>
  <c r="D12" i="4"/>
  <c r="C12" i="4"/>
  <c r="K11" i="4"/>
  <c r="J11" i="4"/>
  <c r="I11" i="4"/>
  <c r="G11" i="4"/>
  <c r="G41" i="4" s="1"/>
  <c r="F11" i="4"/>
  <c r="E11" i="4"/>
  <c r="D11" i="4"/>
  <c r="C11" i="4"/>
  <c r="L10" i="4"/>
  <c r="K10" i="4"/>
  <c r="I10" i="4"/>
  <c r="G10" i="4"/>
  <c r="F10" i="4"/>
  <c r="E10" i="4"/>
  <c r="D10" i="4"/>
  <c r="C10" i="4"/>
  <c r="K9" i="4"/>
  <c r="J9" i="4"/>
  <c r="I9" i="4"/>
  <c r="H9" i="4"/>
  <c r="G9" i="4"/>
  <c r="F9" i="4"/>
  <c r="E9" i="4"/>
  <c r="D9" i="4"/>
  <c r="C9" i="4"/>
  <c r="K8" i="4"/>
  <c r="J8" i="4"/>
  <c r="I8" i="4"/>
  <c r="G8" i="4"/>
  <c r="G42" i="4" s="1"/>
  <c r="F8" i="4"/>
  <c r="E8" i="4"/>
  <c r="D8" i="4"/>
  <c r="C8" i="4"/>
  <c r="L7" i="4"/>
  <c r="K7" i="4"/>
  <c r="K43" i="4" s="1"/>
  <c r="I7" i="4"/>
  <c r="I43" i="4" s="1"/>
  <c r="G7" i="4"/>
  <c r="G43" i="4" s="1"/>
  <c r="F7" i="4"/>
  <c r="F42" i="4" s="1"/>
  <c r="E7" i="4"/>
  <c r="D7" i="4"/>
  <c r="C7" i="4"/>
  <c r="M26" i="3"/>
  <c r="L26" i="3"/>
  <c r="K26" i="3"/>
  <c r="J26" i="3"/>
  <c r="I26" i="3"/>
  <c r="H26" i="3"/>
  <c r="G26" i="3"/>
  <c r="F26" i="3"/>
  <c r="E26" i="3"/>
  <c r="J25" i="3"/>
  <c r="H25" i="3"/>
  <c r="F25" i="3"/>
  <c r="E25" i="3"/>
  <c r="J24" i="3"/>
  <c r="H24" i="3"/>
  <c r="F24" i="3"/>
  <c r="E24" i="3"/>
  <c r="J23" i="3"/>
  <c r="H23" i="3"/>
  <c r="F23" i="3"/>
  <c r="E23" i="3"/>
  <c r="K22" i="3"/>
  <c r="I22" i="3"/>
  <c r="J40" i="4" s="1"/>
  <c r="G22" i="3"/>
  <c r="K21" i="3"/>
  <c r="L39" i="4" s="1"/>
  <c r="I21" i="3"/>
  <c r="J39" i="4" s="1"/>
  <c r="G21" i="3"/>
  <c r="K20" i="3"/>
  <c r="I20" i="3"/>
  <c r="G20" i="3"/>
  <c r="H38" i="4" s="1"/>
  <c r="L19" i="3"/>
  <c r="K19" i="3"/>
  <c r="I19" i="3"/>
  <c r="J37" i="4" s="1"/>
  <c r="G19" i="3"/>
  <c r="H37" i="4" s="1"/>
  <c r="K18" i="3"/>
  <c r="L36" i="4" s="1"/>
  <c r="I18" i="3"/>
  <c r="J36" i="4" s="1"/>
  <c r="G18" i="3"/>
  <c r="L17" i="3"/>
  <c r="M35" i="4" s="1"/>
  <c r="K17" i="3"/>
  <c r="L35" i="4" s="1"/>
  <c r="I17" i="3"/>
  <c r="G17" i="3"/>
  <c r="H35" i="4" s="1"/>
  <c r="K16" i="3"/>
  <c r="I16" i="3"/>
  <c r="J34" i="4" s="1"/>
  <c r="G16" i="3"/>
  <c r="L16" i="3" s="1"/>
  <c r="K15" i="3"/>
  <c r="L33" i="4" s="1"/>
  <c r="I15" i="3"/>
  <c r="G15" i="3"/>
  <c r="L15" i="3" s="1"/>
  <c r="K14" i="3"/>
  <c r="L32" i="4" s="1"/>
  <c r="I14" i="3"/>
  <c r="G14" i="3"/>
  <c r="H32" i="4" s="1"/>
  <c r="K13" i="3"/>
  <c r="I13" i="3"/>
  <c r="J31" i="4" s="1"/>
  <c r="G13" i="3"/>
  <c r="H31" i="4" s="1"/>
  <c r="K12" i="3"/>
  <c r="L30" i="4" s="1"/>
  <c r="I12" i="3"/>
  <c r="J30" i="4" s="1"/>
  <c r="G12" i="3"/>
  <c r="L12" i="3" s="1"/>
  <c r="K11" i="3"/>
  <c r="L29" i="4" s="1"/>
  <c r="I11" i="3"/>
  <c r="G11" i="3"/>
  <c r="G23" i="3" s="1"/>
  <c r="K10" i="3"/>
  <c r="I10" i="3"/>
  <c r="J28" i="4" s="1"/>
  <c r="G10" i="3"/>
  <c r="K9" i="3"/>
  <c r="K25" i="3" s="1"/>
  <c r="I9" i="3"/>
  <c r="J27" i="4" s="1"/>
  <c r="G9" i="3"/>
  <c r="K8" i="3"/>
  <c r="I8" i="3"/>
  <c r="G8" i="3"/>
  <c r="H26" i="4" s="1"/>
  <c r="L7" i="3"/>
  <c r="K7" i="3"/>
  <c r="I7" i="3"/>
  <c r="J25" i="4" s="1"/>
  <c r="G7" i="3"/>
  <c r="H25" i="4" s="1"/>
  <c r="M28" i="2"/>
  <c r="L28" i="2"/>
  <c r="K28" i="2"/>
  <c r="J28" i="2"/>
  <c r="I28" i="2"/>
  <c r="H28" i="2"/>
  <c r="G28" i="2"/>
  <c r="F28" i="2"/>
  <c r="E28" i="2"/>
  <c r="J27" i="2"/>
  <c r="H27" i="2"/>
  <c r="F27" i="2"/>
  <c r="E27" i="2"/>
  <c r="J26" i="2"/>
  <c r="H26" i="2"/>
  <c r="F26" i="2"/>
  <c r="E26" i="2"/>
  <c r="J25" i="2"/>
  <c r="H25" i="2"/>
  <c r="F25" i="2"/>
  <c r="E25" i="2"/>
  <c r="K24" i="2"/>
  <c r="L24" i="4" s="1"/>
  <c r="I24" i="2"/>
  <c r="J24" i="4" s="1"/>
  <c r="G24" i="2"/>
  <c r="L23" i="2"/>
  <c r="M23" i="4" s="1"/>
  <c r="K23" i="2"/>
  <c r="L23" i="4" s="1"/>
  <c r="I23" i="2"/>
  <c r="G23" i="2"/>
  <c r="H23" i="4" s="1"/>
  <c r="K22" i="2"/>
  <c r="I22" i="2"/>
  <c r="J22" i="4" s="1"/>
  <c r="G22" i="2"/>
  <c r="L22" i="2" s="1"/>
  <c r="K21" i="2"/>
  <c r="L21" i="4" s="1"/>
  <c r="I21" i="2"/>
  <c r="G21" i="2"/>
  <c r="L21" i="2" s="1"/>
  <c r="K20" i="2"/>
  <c r="L20" i="2" s="1"/>
  <c r="I20" i="2"/>
  <c r="G20" i="2"/>
  <c r="H20" i="4" s="1"/>
  <c r="K19" i="2"/>
  <c r="I19" i="2"/>
  <c r="J19" i="4" s="1"/>
  <c r="G19" i="2"/>
  <c r="H19" i="4" s="1"/>
  <c r="K18" i="2"/>
  <c r="L18" i="4" s="1"/>
  <c r="I18" i="2"/>
  <c r="J18" i="4" s="1"/>
  <c r="G18" i="2"/>
  <c r="L18" i="2" s="1"/>
  <c r="K17" i="2"/>
  <c r="L17" i="4" s="1"/>
  <c r="I17" i="2"/>
  <c r="G17" i="2"/>
  <c r="H17" i="4" s="1"/>
  <c r="K16" i="2"/>
  <c r="I16" i="2"/>
  <c r="J16" i="4" s="1"/>
  <c r="G16" i="2"/>
  <c r="K15" i="2"/>
  <c r="L15" i="4" s="1"/>
  <c r="I15" i="2"/>
  <c r="J15" i="4" s="1"/>
  <c r="G15" i="2"/>
  <c r="K14" i="2"/>
  <c r="I14" i="2"/>
  <c r="G14" i="2"/>
  <c r="H14" i="4" s="1"/>
  <c r="L13" i="2"/>
  <c r="M13" i="4" s="1"/>
  <c r="K13" i="2"/>
  <c r="I13" i="2"/>
  <c r="J13" i="4" s="1"/>
  <c r="G13" i="2"/>
  <c r="H13" i="4" s="1"/>
  <c r="K12" i="2"/>
  <c r="L12" i="4" s="1"/>
  <c r="I12" i="2"/>
  <c r="J12" i="4" s="1"/>
  <c r="G12" i="2"/>
  <c r="L11" i="2"/>
  <c r="M11" i="4" s="1"/>
  <c r="K11" i="2"/>
  <c r="L11" i="4" s="1"/>
  <c r="I11" i="2"/>
  <c r="G11" i="2"/>
  <c r="H11" i="4" s="1"/>
  <c r="K10" i="2"/>
  <c r="I10" i="2"/>
  <c r="I25" i="2" s="1"/>
  <c r="G10" i="2"/>
  <c r="H10" i="4" s="1"/>
  <c r="K9" i="2"/>
  <c r="L9" i="4" s="1"/>
  <c r="I9" i="2"/>
  <c r="G9" i="2"/>
  <c r="L9" i="2" s="1"/>
  <c r="K8" i="2"/>
  <c r="K25" i="2" s="1"/>
  <c r="I8" i="2"/>
  <c r="G8" i="2"/>
  <c r="H8" i="4" s="1"/>
  <c r="K7" i="2"/>
  <c r="I7" i="2"/>
  <c r="J7" i="4" s="1"/>
  <c r="G7" i="2"/>
  <c r="G26" i="2" s="1"/>
  <c r="M34" i="4" l="1"/>
  <c r="M16" i="3"/>
  <c r="M18" i="2"/>
  <c r="M18" i="4"/>
  <c r="M9" i="4"/>
  <c r="M9" i="2"/>
  <c r="M20" i="4"/>
  <c r="M20" i="2"/>
  <c r="M15" i="3"/>
  <c r="M33" i="4"/>
  <c r="M12" i="3"/>
  <c r="M30" i="4"/>
  <c r="M22" i="4"/>
  <c r="M22" i="2"/>
  <c r="M21" i="4"/>
  <c r="M21" i="2"/>
  <c r="L8" i="4"/>
  <c r="L14" i="3"/>
  <c r="M19" i="3"/>
  <c r="L10" i="2"/>
  <c r="L17" i="2"/>
  <c r="E15" i="1"/>
  <c r="L16" i="2"/>
  <c r="K27" i="2"/>
  <c r="L10" i="3"/>
  <c r="L22" i="3"/>
  <c r="G25" i="3"/>
  <c r="F41" i="4"/>
  <c r="I42" i="4"/>
  <c r="M13" i="2"/>
  <c r="M7" i="3"/>
  <c r="I26" i="2"/>
  <c r="M11" i="2"/>
  <c r="M23" i="2"/>
  <c r="G25" i="2"/>
  <c r="M17" i="3"/>
  <c r="I25" i="3"/>
  <c r="M25" i="4"/>
  <c r="M37" i="4"/>
  <c r="K42" i="4"/>
  <c r="L15" i="2"/>
  <c r="L9" i="3"/>
  <c r="O15" i="3" s="1"/>
  <c r="L21" i="3"/>
  <c r="I24" i="3"/>
  <c r="J10" i="4"/>
  <c r="J42" i="4" s="1"/>
  <c r="L27" i="4"/>
  <c r="H29" i="4"/>
  <c r="K41" i="4"/>
  <c r="F43" i="4"/>
  <c r="K26" i="2"/>
  <c r="L8" i="2"/>
  <c r="O21" i="2" s="1"/>
  <c r="L11" i="3"/>
  <c r="K24" i="3"/>
  <c r="L12" i="2"/>
  <c r="L24" i="2"/>
  <c r="G27" i="2"/>
  <c r="L18" i="3"/>
  <c r="I23" i="3"/>
  <c r="L7" i="2"/>
  <c r="L19" i="2"/>
  <c r="L13" i="3"/>
  <c r="H7" i="4"/>
  <c r="G24" i="3"/>
  <c r="L20" i="4"/>
  <c r="H34" i="4"/>
  <c r="L14" i="2"/>
  <c r="I27" i="2"/>
  <c r="L8" i="3"/>
  <c r="L23" i="3" s="1"/>
  <c r="L20" i="3"/>
  <c r="K23" i="3"/>
  <c r="H22" i="4"/>
  <c r="O18" i="3" l="1"/>
  <c r="M18" i="3"/>
  <c r="M36" i="4"/>
  <c r="M28" i="4"/>
  <c r="M10" i="3"/>
  <c r="O10" i="3"/>
  <c r="M14" i="2"/>
  <c r="O14" i="2"/>
  <c r="M14" i="4"/>
  <c r="N23" i="4"/>
  <c r="N23" i="2"/>
  <c r="O23" i="4" s="1"/>
  <c r="L41" i="4"/>
  <c r="C30" i="1"/>
  <c r="O24" i="2"/>
  <c r="M24" i="2"/>
  <c r="M24" i="4"/>
  <c r="L25" i="3"/>
  <c r="N11" i="4"/>
  <c r="N11" i="2"/>
  <c r="O11" i="4" s="1"/>
  <c r="O16" i="2"/>
  <c r="M16" i="4"/>
  <c r="M16" i="2"/>
  <c r="N21" i="4"/>
  <c r="N21" i="2"/>
  <c r="O21" i="4" s="1"/>
  <c r="O18" i="2"/>
  <c r="E21" i="1"/>
  <c r="N33" i="4"/>
  <c r="N15" i="3"/>
  <c r="O33" i="4" s="1"/>
  <c r="N18" i="2"/>
  <c r="O18" i="4" s="1"/>
  <c r="N18" i="4"/>
  <c r="N30" i="4"/>
  <c r="N12" i="3"/>
  <c r="O30" i="4" s="1"/>
  <c r="O12" i="2"/>
  <c r="M12" i="2"/>
  <c r="M12" i="4"/>
  <c r="M21" i="3"/>
  <c r="O21" i="3"/>
  <c r="M39" i="4"/>
  <c r="C29" i="1"/>
  <c r="E18" i="1"/>
  <c r="N34" i="4"/>
  <c r="N16" i="3"/>
  <c r="O34" i="4" s="1"/>
  <c r="M32" i="4"/>
  <c r="O14" i="3"/>
  <c r="M14" i="3"/>
  <c r="M9" i="3"/>
  <c r="O9" i="3"/>
  <c r="M27" i="4"/>
  <c r="E20" i="1"/>
  <c r="C31" i="1"/>
  <c r="N13" i="4"/>
  <c r="N13" i="2"/>
  <c r="O13" i="4" s="1"/>
  <c r="O16" i="3"/>
  <c r="M13" i="3"/>
  <c r="M31" i="4"/>
  <c r="P31" i="4" s="1"/>
  <c r="O13" i="3"/>
  <c r="N22" i="4"/>
  <c r="N22" i="2"/>
  <c r="O22" i="4" s="1"/>
  <c r="M19" i="2"/>
  <c r="M19" i="4"/>
  <c r="O19" i="2"/>
  <c r="O7" i="3"/>
  <c r="B31" i="1"/>
  <c r="M7" i="2"/>
  <c r="D17" i="1"/>
  <c r="F17" i="1" s="1"/>
  <c r="G17" i="1" s="1"/>
  <c r="D31" i="1"/>
  <c r="L25" i="2"/>
  <c r="B30" i="1"/>
  <c r="D19" i="1"/>
  <c r="M7" i="4"/>
  <c r="D29" i="1"/>
  <c r="D22" i="1"/>
  <c r="L27" i="2"/>
  <c r="D30" i="1"/>
  <c r="L26" i="2"/>
  <c r="O11" i="2"/>
  <c r="O7" i="2"/>
  <c r="B29" i="1"/>
  <c r="D21" i="1"/>
  <c r="F21" i="1" s="1"/>
  <c r="G21" i="1" s="1"/>
  <c r="D18" i="1"/>
  <c r="D15" i="1"/>
  <c r="D20" i="1"/>
  <c r="O23" i="2"/>
  <c r="D16" i="1"/>
  <c r="O13" i="2"/>
  <c r="O22" i="2"/>
  <c r="J41" i="4"/>
  <c r="P34" i="4"/>
  <c r="H42" i="4"/>
  <c r="H43" i="4"/>
  <c r="H41" i="4"/>
  <c r="M15" i="4"/>
  <c r="M15" i="2"/>
  <c r="O15" i="2"/>
  <c r="M17" i="4"/>
  <c r="O17" i="2"/>
  <c r="M17" i="2"/>
  <c r="O17" i="3"/>
  <c r="O8" i="2"/>
  <c r="M8" i="2"/>
  <c r="M8" i="4"/>
  <c r="P37" i="4" s="1"/>
  <c r="L43" i="4"/>
  <c r="O20" i="2"/>
  <c r="M20" i="3"/>
  <c r="M38" i="4"/>
  <c r="O20" i="3"/>
  <c r="O10" i="2"/>
  <c r="M10" i="4"/>
  <c r="M10" i="2"/>
  <c r="P30" i="4"/>
  <c r="N9" i="4"/>
  <c r="N9" i="2"/>
  <c r="O9" i="4" s="1"/>
  <c r="J43" i="4"/>
  <c r="M29" i="4"/>
  <c r="O11" i="3"/>
  <c r="M11" i="3"/>
  <c r="C32" i="1"/>
  <c r="C33" i="1" s="1"/>
  <c r="N25" i="4"/>
  <c r="C34" i="1"/>
  <c r="N7" i="3"/>
  <c r="O25" i="4" s="1"/>
  <c r="M23" i="3"/>
  <c r="C28" i="1"/>
  <c r="N20" i="2"/>
  <c r="O20" i="4" s="1"/>
  <c r="N20" i="4"/>
  <c r="E17" i="1"/>
  <c r="L42" i="4"/>
  <c r="L24" i="3"/>
  <c r="M8" i="3"/>
  <c r="M24" i="3" s="1"/>
  <c r="M26" i="4"/>
  <c r="E22" i="1"/>
  <c r="E16" i="1"/>
  <c r="E23" i="1" s="1"/>
  <c r="O8" i="3"/>
  <c r="E19" i="1"/>
  <c r="N35" i="4"/>
  <c r="N17" i="3"/>
  <c r="O35" i="4" s="1"/>
  <c r="O22" i="3"/>
  <c r="M40" i="4"/>
  <c r="M22" i="3"/>
  <c r="N37" i="4"/>
  <c r="N19" i="3"/>
  <c r="O37" i="4" s="1"/>
  <c r="O12" i="3"/>
  <c r="O9" i="2"/>
  <c r="O19" i="3"/>
  <c r="N13" i="3" l="1"/>
  <c r="O31" i="4" s="1"/>
  <c r="N31" i="4"/>
  <c r="P14" i="4"/>
  <c r="N10" i="4"/>
  <c r="N10" i="2"/>
  <c r="O10" i="4" s="1"/>
  <c r="M25" i="3"/>
  <c r="P10" i="4"/>
  <c r="P20" i="4"/>
  <c r="N7" i="2"/>
  <c r="O7" i="4" s="1"/>
  <c r="D32" i="1"/>
  <c r="D33" i="1" s="1"/>
  <c r="B32" i="1"/>
  <c r="B33" i="1" s="1"/>
  <c r="M25" i="2"/>
  <c r="N7" i="4"/>
  <c r="M26" i="2"/>
  <c r="D34" i="1"/>
  <c r="M27" i="2"/>
  <c r="D28" i="1"/>
  <c r="B28" i="1"/>
  <c r="B34" i="1"/>
  <c r="P26" i="4"/>
  <c r="N17" i="4"/>
  <c r="N17" i="2"/>
  <c r="O17" i="4" s="1"/>
  <c r="P21" i="4"/>
  <c r="N14" i="4"/>
  <c r="N14" i="2"/>
  <c r="O14" i="4" s="1"/>
  <c r="P32" i="4"/>
  <c r="P16" i="4"/>
  <c r="P9" i="4"/>
  <c r="P17" i="4"/>
  <c r="P24" i="4"/>
  <c r="F16" i="1"/>
  <c r="G16" i="1" s="1"/>
  <c r="F22" i="1"/>
  <c r="G22" i="1" s="1"/>
  <c r="P39" i="4"/>
  <c r="N24" i="2"/>
  <c r="O24" i="4" s="1"/>
  <c r="N24" i="4"/>
  <c r="N28" i="4"/>
  <c r="N10" i="3"/>
  <c r="O28" i="4" s="1"/>
  <c r="N15" i="4"/>
  <c r="N15" i="2"/>
  <c r="O15" i="4" s="1"/>
  <c r="P27" i="4"/>
  <c r="P28" i="4"/>
  <c r="N38" i="4"/>
  <c r="N20" i="3"/>
  <c r="O38" i="4" s="1"/>
  <c r="P22" i="4"/>
  <c r="P19" i="4"/>
  <c r="P29" i="4"/>
  <c r="P15" i="4"/>
  <c r="F20" i="1"/>
  <c r="G20" i="1" s="1"/>
  <c r="M42" i="4"/>
  <c r="M41" i="4"/>
  <c r="P7" i="4"/>
  <c r="M43" i="4"/>
  <c r="P35" i="4"/>
  <c r="P23" i="4"/>
  <c r="P11" i="4"/>
  <c r="P13" i="4"/>
  <c r="N19" i="2"/>
  <c r="O19" i="4" s="1"/>
  <c r="N19" i="4"/>
  <c r="N39" i="4"/>
  <c r="N21" i="3"/>
  <c r="O39" i="4" s="1"/>
  <c r="P33" i="4"/>
  <c r="P36" i="4"/>
  <c r="N26" i="4"/>
  <c r="N8" i="3"/>
  <c r="O26" i="4" s="1"/>
  <c r="P38" i="4"/>
  <c r="P25" i="4"/>
  <c r="N40" i="4"/>
  <c r="N22" i="3"/>
  <c r="O40" i="4" s="1"/>
  <c r="N29" i="4"/>
  <c r="N11" i="3"/>
  <c r="O29" i="4" s="1"/>
  <c r="P40" i="4"/>
  <c r="D23" i="1"/>
  <c r="F15" i="1"/>
  <c r="F19" i="1"/>
  <c r="G19" i="1" s="1"/>
  <c r="N27" i="4"/>
  <c r="N9" i="3"/>
  <c r="O27" i="4" s="1"/>
  <c r="P12" i="4"/>
  <c r="P18" i="4"/>
  <c r="N18" i="3"/>
  <c r="O36" i="4" s="1"/>
  <c r="N36" i="4"/>
  <c r="N8" i="2"/>
  <c r="O8" i="4" s="1"/>
  <c r="N8" i="4"/>
  <c r="N16" i="4"/>
  <c r="N16" i="2"/>
  <c r="O16" i="4" s="1"/>
  <c r="P8" i="4"/>
  <c r="F18" i="1"/>
  <c r="G18" i="1" s="1"/>
  <c r="N14" i="3"/>
  <c r="O32" i="4" s="1"/>
  <c r="N32" i="4"/>
  <c r="N12" i="2"/>
  <c r="O12" i="4" s="1"/>
  <c r="N12" i="4"/>
  <c r="F23" i="1" l="1"/>
  <c r="G15" i="1"/>
  <c r="N41" i="4"/>
  <c r="N42" i="4"/>
  <c r="N43" i="4"/>
</calcChain>
</file>

<file path=xl/sharedStrings.xml><?xml version="1.0" encoding="utf-8"?>
<sst xmlns="http://schemas.openxmlformats.org/spreadsheetml/2006/main" count="324" uniqueCount="232">
  <si>
    <t>📊 รายงานสรุปผลการประเมินและแจกแจงเกรด สัดส่วน 20 : 50 : 10 : 20</t>
  </si>
  <si>
    <t>รหัสวิชา 21909-1006 พื้นฐานการสร้างเว็บไซต์  |  ระดับชั้น ปวช. 1 ชทค. (ห้อง 1 และ 2 รวม 34 คน)  |  ปีการศึกษา 2569</t>
  </si>
  <si>
    <t>📌 โครงสร้างสัดส่วนการตัดเกรด 100 คะแนน</t>
  </si>
  <si>
    <t>หมวดการประเมิน</t>
  </si>
  <si>
    <t>สัดส่วน</t>
  </si>
  <si>
    <t>คะแนนเต็ม</t>
  </si>
  <si>
    <t>วิธีการแปลงคะแนนจากข้อมูลจริง</t>
  </si>
  <si>
    <t>เกณฑ์อ้างอิง</t>
  </si>
  <si>
    <t>1. จิตพิสัย (คุณธรรม จริยธรรม เจตคติ)</t>
  </si>
  <si>
    <t>20%</t>
  </si>
  <si>
    <t>20 คะแนน</t>
  </si>
  <si>
    <t>ตั้งค่าเริ่มต้น 20 คะแนน (แก้ไขปรับลดตาม ขาด/ลา/สาย ได้)</t>
  </si>
  <si>
    <t>ระเบียบ สอศ. ข้อ 4</t>
  </si>
  <si>
    <t>2. คะแนนเก็บระหว่างภาค (แบบฝึกหัด 1-8 + โปรเจค)</t>
  </si>
  <si>
    <t>50%</t>
  </si>
  <si>
    <t>50 คะแนน</t>
  </si>
  <si>
    <t>ทอนจากคะแนนเก็บเต็ม 100 คะแนน = (คะแนนดิบ ÷ 100) × 50</t>
  </si>
  <si>
    <t>งานใน Google Classroom</t>
  </si>
  <si>
    <t>3. สอบกลางภาค (Midterm Examination)</t>
  </si>
  <si>
    <t>10%</t>
  </si>
  <si>
    <t>10 คะแนน</t>
  </si>
  <si>
    <t>ทอนจากคะแนนสอบกลางภาค = (คะแนนดิบ ÷ คะแนนเต็มดิบ) × 10</t>
  </si>
  <si>
    <t>ข้อสอบกลางภาค</t>
  </si>
  <si>
    <t>4. สอบปลายภาค (Final Examination)</t>
  </si>
  <si>
    <t>ทอนจากคะแนนสอบปลายภาคเต็ม 50 = (คะแนนดิบ ÷ 50) × 20</t>
  </si>
  <si>
    <t>ปรนัย 30 + อัตนัย 20</t>
  </si>
  <si>
    <t>รวมทั้งสิ้น (Total Net Score)</t>
  </si>
  <si>
    <t>100%</t>
  </si>
  <si>
    <t>100 คะแนน</t>
  </si>
  <si>
    <t>รวมทุกหมวดเข้าด้วยกัน ตัดเกรด 8 ระดับ (0 - 4.0)</t>
  </si>
  <si>
    <t>เกณฑ์มาตรฐาน ปวช.</t>
  </si>
  <si>
    <t>📈 การแจกแจงระดับผลการเรียน (Grade Distribution 8 ระดับ)</t>
  </si>
  <si>
    <t>ช่วงคะแนน (100)</t>
  </si>
  <si>
    <t>เกรด</t>
  </si>
  <si>
    <t>ความหมาย</t>
  </si>
  <si>
    <t>ห้อง 1 (18 คน)</t>
  </si>
  <si>
    <t>ห้อง 2 (16 คน)</t>
  </si>
  <si>
    <t>รวม (34 คน)</t>
  </si>
  <si>
    <t>ร้อยละ</t>
  </si>
  <si>
    <t>80 - 100 คะแนน</t>
  </si>
  <si>
    <t>4.0</t>
  </si>
  <si>
    <t>ดีเยี่ยม (Excellent)</t>
  </si>
  <si>
    <t>75 - 79 คะแนน</t>
  </si>
  <si>
    <t>3.5</t>
  </si>
  <si>
    <t>ดีมาก (Very Good)</t>
  </si>
  <si>
    <t>70 - 74 คะแนน</t>
  </si>
  <si>
    <t>3.0</t>
  </si>
  <si>
    <t>ดี (Good)</t>
  </si>
  <si>
    <t>65 - 69 คะแนน</t>
  </si>
  <si>
    <t>2.5</t>
  </si>
  <si>
    <t>ค่อนข้างดี (Fairly Good)</t>
  </si>
  <si>
    <t>60 - 64 คะแนน</t>
  </si>
  <si>
    <t>2.0</t>
  </si>
  <si>
    <t>พอใช้ (Fair)</t>
  </si>
  <si>
    <t>55 - 59 คะแนน</t>
  </si>
  <si>
    <t>1.5</t>
  </si>
  <si>
    <t>อ่อน (Poor)</t>
  </si>
  <si>
    <t>50 - 54 คะแนน</t>
  </si>
  <si>
    <t>1.0</t>
  </si>
  <si>
    <t>อ่อนมาก (Very Poor)</t>
  </si>
  <si>
    <t>0 - 49 คะแนน</t>
  </si>
  <si>
    <t>0.0</t>
  </si>
  <si>
    <t>ไม่ผ่านเกณฑ์ (Fail)</t>
  </si>
  <si>
    <t>รวมนักเรียนทั้งหมด</t>
  </si>
  <si>
    <t>-</t>
  </si>
  <si>
    <t>34 คน</t>
  </si>
  <si>
    <t>100.0%</t>
  </si>
  <si>
    <t>🏆 สรุปตัวชี้วัดผลสัมฤทธิ์ทางการเรียน (Key Academic Metrics)</t>
  </si>
  <si>
    <t>ตัวชี้วัด</t>
  </si>
  <si>
    <t>ห้อง 1</t>
  </si>
  <si>
    <t>ห้อง 2</t>
  </si>
  <si>
    <t>รวมทั้งสิ้น / ค่าเฉลี่ยรวม</t>
  </si>
  <si>
    <t>หมายเหตุ</t>
  </si>
  <si>
    <t>เกรดเฉลี่ยรายวิชา (GPA)</t>
  </si>
  <si>
    <t>เกรดเฉลี่ยประชากรนักเรียน</t>
  </si>
  <si>
    <t>คะแนนเฉลี่ยรวม (เต็ม 100)</t>
  </si>
  <si>
    <t>รวมทุกสัดส่วน 100 คะแนน</t>
  </si>
  <si>
    <t>คะแนนสูงสุด (Max)</t>
  </si>
  <si>
    <t>คะแนนรวมสูงสุดในแต่ละห้อง</t>
  </si>
  <si>
    <t>คะแนนต่ำสุด (Min)</t>
  </si>
  <si>
    <t>คะแนนรวมต่ำสุดในแต่ละห้อง</t>
  </si>
  <si>
    <t>จำนวนนักเรียนที่ผ่านเกณฑ์ (เกรด ≥ 1.0)</t>
  </si>
  <si>
    <t>เกณฑ์ผ่านร้อยละ 50 ของคะแนนเต็ม</t>
  </si>
  <si>
    <t>ร้อยละการผ่านเกณฑ์</t>
  </si>
  <si>
    <t>เทียบกับจำนวนนักเรียนทั้งหมด</t>
  </si>
  <si>
    <t>จำนวนนักเรียนระดับดีขึ้นไป (เกรด ≥ 3.0)</t>
  </si>
  <si>
    <t>เกรด 3.0, 3.5, 4.0</t>
  </si>
  <si>
    <t>🎓 แบบจำลองการตัดเกรดผลการเรียนรู้ สัดส่วน 20 : 50 : 10 : 20 - ห้อง 1 (18 คน)</t>
  </si>
  <si>
    <t>รหัสวิชา 21909-1006 พื้นฐานการสร้างเว็บไซต์  |  สัดส่วนคะแนน: จิตพิสัย 20% + แบบฝึกหัด 50% + กลางภาค 10% + ปลายภาค 20% = 100%  |  ห้อง 1 (18 คน)</t>
  </si>
  <si>
    <t>ข้อมูลนักศึกษา</t>
  </si>
  <si>
    <t>จิตพิสัย (20%)</t>
  </si>
  <si>
    <t>คะแนนเก็บ (50%)</t>
  </si>
  <si>
    <t>กลางภาค (10%)</t>
  </si>
  <si>
    <t>ปลายภาค (20%)</t>
  </si>
  <si>
    <t>สรุปผลการเรียนและตัดเกรด (เต็ม 100)</t>
  </si>
  <si>
    <t>เลขที่</t>
  </si>
  <si>
    <t>รหัสนักศึกษา</t>
  </si>
  <si>
    <t>รหัส
(3 ตัว)</t>
  </si>
  <si>
    <t>ชื่อ - นามสกุล</t>
  </si>
  <si>
    <t>คะแนนจิตพิสัย
(เต็ม 20)</t>
  </si>
  <si>
    <t>คะแนนดิบ
(เต็ม 100)</t>
  </si>
  <si>
    <t>ทอนสัดส่วน
(เต็ม 50)</t>
  </si>
  <si>
    <t>คะแนนดิบ
(กลางภาค)</t>
  </si>
  <si>
    <t>ทอนสัดส่วน
(เต็ม 10)</t>
  </si>
  <si>
    <t>คะแนนดิบ
(เต็ม 50)</t>
  </si>
  <si>
    <t>ทอนสัดส่วน
(เต็ม 20)</t>
  </si>
  <si>
    <t>คะแนนรวมสุทธิ
(เต็ม 100)</t>
  </si>
  <si>
    <t>เกรด
(0 - 4)</t>
  </si>
  <si>
    <t>ผลการเรียนรู้
(การแปลผล)</t>
  </si>
  <si>
    <t>ลำดับที่
(Rank)</t>
  </si>
  <si>
    <t>สัดส่วน / คะแนนเต็ม</t>
  </si>
  <si>
    <t>69219090001</t>
  </si>
  <si>
    <t>001</t>
  </si>
  <si>
    <t>นายกฤศมน บุญเปี่ยม</t>
  </si>
  <si>
    <t>69219090002</t>
  </si>
  <si>
    <t>002</t>
  </si>
  <si>
    <t>เด็กชายกษธณชล การรักเรียน</t>
  </si>
  <si>
    <t>69219090003</t>
  </si>
  <si>
    <t>003</t>
  </si>
  <si>
    <t>นางสาวกัญญ์วรา ทองดี</t>
  </si>
  <si>
    <t>69219090004</t>
  </si>
  <si>
    <t>004</t>
  </si>
  <si>
    <t>นายกันธรักษ์ พานทอง</t>
  </si>
  <si>
    <t>69219090005</t>
  </si>
  <si>
    <t>005</t>
  </si>
  <si>
    <t>เด็กชายคุณานนต์ พิมพ์จันทร์</t>
  </si>
  <si>
    <t>69219090006</t>
  </si>
  <si>
    <t>006</t>
  </si>
  <si>
    <t>เด็กชายเฉลิมวงศ์ มะลิใย</t>
  </si>
  <si>
    <t>69219090007</t>
  </si>
  <si>
    <t>007</t>
  </si>
  <si>
    <t>นางสาวชลดา เรือนแก้ว</t>
  </si>
  <si>
    <t>69219090008</t>
  </si>
  <si>
    <t>008</t>
  </si>
  <si>
    <t>นายณัฐกรณ์ กองทอง</t>
  </si>
  <si>
    <t>69219090009</t>
  </si>
  <si>
    <t>009</t>
  </si>
  <si>
    <t>นายณัฐพล ทวีทรัพย์</t>
  </si>
  <si>
    <t>69219090010</t>
  </si>
  <si>
    <t>010</t>
  </si>
  <si>
    <t>นายต้นตระการ เพชรภู่</t>
  </si>
  <si>
    <t>69219090011</t>
  </si>
  <si>
    <t>011</t>
  </si>
  <si>
    <t>นายตฤณ ตาดทอง</t>
  </si>
  <si>
    <t>69219090012</t>
  </si>
  <si>
    <t>012</t>
  </si>
  <si>
    <t>นายธนพัฒน์ บุญเรือง</t>
  </si>
  <si>
    <t>69219090013</t>
  </si>
  <si>
    <t>013</t>
  </si>
  <si>
    <t>นายธีรภัทร วาสิทธิ์เทพ</t>
  </si>
  <si>
    <t>69219090014</t>
  </si>
  <si>
    <t>014</t>
  </si>
  <si>
    <t>นายภูเบต ควันทอง</t>
  </si>
  <si>
    <t>69219090015</t>
  </si>
  <si>
    <t>015</t>
  </si>
  <si>
    <t>นายภูวพิศิษฐ์ ใหลสกุล</t>
  </si>
  <si>
    <t>69219090016</t>
  </si>
  <si>
    <t>016</t>
  </si>
  <si>
    <t>นางสาวมินตา บินอามัด</t>
  </si>
  <si>
    <t>69219090017</t>
  </si>
  <si>
    <t>017</t>
  </si>
  <si>
    <t>นายอัรฮัม ยูนุ</t>
  </si>
  <si>
    <t>69219090018</t>
  </si>
  <si>
    <t>018</t>
  </si>
  <si>
    <t>นายอานนท์ณัฏฐ์ ไวพจน์</t>
  </si>
  <si>
    <t>คะแนนเฉลี่ย (Average)</t>
  </si>
  <si>
    <t>ส่วนเบี่ยงเบนมาตรฐาน (S.D.)</t>
  </si>
  <si>
    <t>🎓 แบบจำลองการตัดเกรดผลการเรียนรู้ สัดส่วน 20 : 50 : 10 : 20 - ห้อง 2 (16 คน)</t>
  </si>
  <si>
    <t>รหัสวิชา 21909-1006 พื้นฐานการสร้างเว็บไซต์  |  สัดส่วนคะแนน: จิตพิสัย 20% + แบบฝึกหัด 50% + กลางภาค 10% + ปลายภาค 20% = 100%  |  ห้อง 2 (16 คน)</t>
  </si>
  <si>
    <t>69219090020</t>
  </si>
  <si>
    <t>020</t>
  </si>
  <si>
    <t>นายชุติวัต สุขมั่น</t>
  </si>
  <si>
    <t>69219090021</t>
  </si>
  <si>
    <t>021</t>
  </si>
  <si>
    <t>เด็กชายณัพร รัตนสุวรรณ</t>
  </si>
  <si>
    <t>69219090022</t>
  </si>
  <si>
    <t>022</t>
  </si>
  <si>
    <t>นายตุลยวัต ทาสีทอง</t>
  </si>
  <si>
    <t>69219090023</t>
  </si>
  <si>
    <t>023</t>
  </si>
  <si>
    <t>เด็กชายธนกฤต แก้วตา</t>
  </si>
  <si>
    <t>69219090024</t>
  </si>
  <si>
    <t>024</t>
  </si>
  <si>
    <t>นายธเนศพล กันเมือง</t>
  </si>
  <si>
    <t>69219090025</t>
  </si>
  <si>
    <t>025</t>
  </si>
  <si>
    <t>นายนรากร จันทร์กล่ำ</t>
  </si>
  <si>
    <t>69219090026</t>
  </si>
  <si>
    <t>026</t>
  </si>
  <si>
    <t>นายนราวิชญ์ ทองระคนธ์</t>
  </si>
  <si>
    <t>69219090027</t>
  </si>
  <si>
    <t>027</t>
  </si>
  <si>
    <t>นายนันทพงศ์ ช่ออุบล</t>
  </si>
  <si>
    <t>69219090028</t>
  </si>
  <si>
    <t>028</t>
  </si>
  <si>
    <t>เด็กชายพงศ์พัทธ์ โสดา</t>
  </si>
  <si>
    <t>69219090029</t>
  </si>
  <si>
    <t>029</t>
  </si>
  <si>
    <t>นายภูธเรศ อินทโชติ</t>
  </si>
  <si>
    <t>69219090030</t>
  </si>
  <si>
    <t>030</t>
  </si>
  <si>
    <t>เด็กหญิงวราภรณ์ มั่นคง</t>
  </si>
  <si>
    <t>69219090031</t>
  </si>
  <si>
    <t>031</t>
  </si>
  <si>
    <t>นายวีรวัฒน์ วงษ์ทิพย์</t>
  </si>
  <si>
    <t>69219090032</t>
  </si>
  <si>
    <t>032</t>
  </si>
  <si>
    <t>นายวุฒิกร พาณิชย์กุลเกียรติ</t>
  </si>
  <si>
    <t>69219090033</t>
  </si>
  <si>
    <t>033</t>
  </si>
  <si>
    <t>เด็กหญิงสโรชา มาเส็ง</t>
  </si>
  <si>
    <t>69219090034</t>
  </si>
  <si>
    <t>034</t>
  </si>
  <si>
    <t>นายอธิป ทองดอนเถื่อน</t>
  </si>
  <si>
    <t>69219090035</t>
  </si>
  <si>
    <t>035</t>
  </si>
  <si>
    <t>เด็กหญิงอารยา จันทน</t>
  </si>
  <si>
    <t>🎓 แบบจำลองการตัดเกรดผลการเรียนรู้ สัดส่วน 20 : 50 : 10 : 20 - รวมทั้ง 2 ห้อง (34 คน)</t>
  </si>
  <si>
    <t>ลำดับรวม</t>
  </si>
  <si>
    <t>ห้อง</t>
  </si>
  <si>
    <t>รหัส</t>
  </si>
  <si>
    <t>จิตพิสัย
(20)</t>
  </si>
  <si>
    <t>ดิบเก็บ
(100)</t>
  </si>
  <si>
    <t>ทอนเก็บ
(50)</t>
  </si>
  <si>
    <t>ดิบกลาง</t>
  </si>
  <si>
    <t>ทอนกลาง
(10)</t>
  </si>
  <si>
    <t>ดิบปลาย
(50)</t>
  </si>
  <si>
    <t>ทอนปลาย
(20)</t>
  </si>
  <si>
    <t>คะแนนสุทธิ
(100)</t>
  </si>
  <si>
    <t>เกรด
(0-4)</t>
  </si>
  <si>
    <t>ผลการเรียนรู้</t>
  </si>
  <si>
    <t>ลำดับรวม
(Rank)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</si>
</sst>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13" x14ac:knownFonts="1">
    <font>
      <sz val="11"/>
      <color theme="1"/>
      <name val="Tahoma"/>
      <family val="2"/>
      <scheme val="minor"/>
    </font>
    <font>
      <b/>
      <sz val="15"/>
      <color rgb="FF0D47A1"/>
      <name val="Leelawadee UI"/>
    </font>
    <font>
      <sz val="11"/>
      <color rgb="FF546E7A"/>
      <name val="Leelawadee UI"/>
    </font>
    <font>
      <b/>
      <sz val="11"/>
      <color rgb="FFFFFFFF"/>
      <name val="Leelawadee UI"/>
    </font>
    <font>
      <b/>
      <sz val="10"/>
      <color rgb="FF1A202C"/>
      <name val="Leelawadee UI"/>
    </font>
    <font>
      <sz val="10"/>
      <color rgb="FF2D3748"/>
      <name val="Leelawadee UI"/>
    </font>
    <font>
      <b/>
      <sz val="10"/>
      <color rgb="FF854D0E"/>
      <name val="Leelawadee UI"/>
    </font>
    <font>
      <b/>
      <sz val="11"/>
      <color rgb="FF4A148C"/>
      <name val="Leelawadee UI"/>
    </font>
    <font>
      <b/>
      <sz val="11"/>
      <color rgb="FF1A202C"/>
      <name val="Leelawadee UI"/>
    </font>
    <font>
      <b/>
      <sz val="10"/>
      <color rgb="FF1A365D"/>
      <name val="Leelawadee UI"/>
    </font>
    <font>
      <b/>
      <sz val="12"/>
      <color rgb="FF1A365D"/>
      <name val="Leelawadee UI"/>
    </font>
    <font>
      <b/>
      <sz val="10"/>
      <color rgb="FFFFFFFF"/>
      <name val="Leelawadee UI"/>
    </font>
    <font>
      <sz val="11"/>
      <color rgb="FF9C0006"/>
      <name val="Tahoma"/>
      <family val="2"/>
      <charset val="22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581C87"/>
      </patternFill>
    </fill>
    <fill>
      <patternFill patternType="solid">
        <fgColor rgb="FFF1F5F9"/>
      </patternFill>
    </fill>
    <fill>
      <patternFill patternType="solid">
        <fgColor rgb="FFE0F2FE"/>
      </patternFill>
    </fill>
    <fill>
      <patternFill patternType="solid">
        <fgColor rgb="FFFFFFFF"/>
      </patternFill>
    </fill>
    <fill>
      <patternFill patternType="solid">
        <fgColor rgb="FFFEF08A"/>
      </patternFill>
    </fill>
    <fill>
      <patternFill patternType="solid">
        <fgColor rgb="FFCCFBF1"/>
      </patternFill>
    </fill>
    <fill>
      <patternFill patternType="solid">
        <fgColor rgb="FFDBEAFE"/>
      </patternFill>
    </fill>
    <fill>
      <patternFill patternType="solid">
        <fgColor rgb="FFF3E8FF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F0FDF4"/>
      </patternFill>
    </fill>
    <fill>
      <patternFill patternType="solid">
        <fgColor rgb="FFFEF2F2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A365D"/>
      </bottom>
      <diagonal/>
    </border>
  </borders>
  <cellStyleXfs count="2">
    <xf numFmtId="0" fontId="0" fillId="0" borderId="0"/>
    <xf numFmtId="0" fontId="12" fillId="15" borderId="0" applyNumberFormat="0" applyBorder="0" applyAlignment="0" applyProtection="0"/>
  </cellStyleXfs>
  <cellXfs count="51">
    <xf numFmtId="0" fontId="0" fillId="0" borderId="0" xfId="0"/>
    <xf numFmtId="0" fontId="10" fillId="0" borderId="0" xfId="0" applyFont="1"/>
    <xf numFmtId="0" fontId="1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2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187" fontId="6" fillId="7" borderId="1" xfId="0" applyNumberFormat="1" applyFont="1" applyFill="1" applyBorder="1" applyAlignment="1">
      <alignment horizontal="center" vertical="center"/>
    </xf>
    <xf numFmtId="187" fontId="5" fillId="6" borderId="1" xfId="0" applyNumberFormat="1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9" borderId="1" xfId="0" applyNumberFormat="1" applyFont="1" applyFill="1" applyBorder="1" applyAlignment="1">
      <alignment horizontal="center" vertical="center"/>
    </xf>
    <xf numFmtId="2" fontId="7" fillId="10" borderId="1" xfId="0" applyNumberFormat="1" applyFont="1" applyFill="1" applyBorder="1" applyAlignment="1">
      <alignment horizontal="center" vertical="center"/>
    </xf>
    <xf numFmtId="187" fontId="8" fillId="10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187" fontId="5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0" fillId="12" borderId="1" xfId="0" applyFill="1" applyBorder="1"/>
    <xf numFmtId="2" fontId="4" fillId="12" borderId="1" xfId="0" applyNumberFormat="1" applyFont="1" applyFill="1" applyBorder="1" applyAlignment="1">
      <alignment horizontal="center" vertical="center"/>
    </xf>
    <xf numFmtId="0" fontId="0" fillId="12" borderId="2" xfId="0" applyFill="1" applyBorder="1"/>
    <xf numFmtId="2" fontId="4" fillId="12" borderId="2" xfId="0" applyNumberFormat="1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9" fillId="12" borderId="1" xfId="0" applyFont="1" applyFill="1" applyBorder="1" applyAlignment="1">
      <alignment horizontal="right" vertical="center"/>
    </xf>
    <xf numFmtId="0" fontId="0" fillId="12" borderId="1" xfId="0" applyFill="1" applyBorder="1"/>
    <xf numFmtId="0" fontId="0" fillId="2" borderId="1" xfId="0" applyFill="1" applyBorder="1"/>
    <xf numFmtId="0" fontId="9" fillId="12" borderId="2" xfId="0" applyFont="1" applyFill="1" applyBorder="1" applyAlignment="1">
      <alignment horizontal="right" vertical="center"/>
    </xf>
    <xf numFmtId="0" fontId="0" fillId="12" borderId="2" xfId="0" applyFill="1" applyBorder="1"/>
    <xf numFmtId="0" fontId="12" fillId="15" borderId="1" xfId="1" applyBorder="1" applyAlignment="1">
      <alignment horizontal="center" vertical="center"/>
    </xf>
    <xf numFmtId="0" fontId="12" fillId="15" borderId="1" xfId="1" applyBorder="1" applyAlignment="1">
      <alignment horizontal="left" vertical="center"/>
    </xf>
    <xf numFmtId="187" fontId="12" fillId="15" borderId="1" xfId="1" applyNumberFormat="1" applyBorder="1" applyAlignment="1">
      <alignment horizontal="center" vertical="center"/>
    </xf>
    <xf numFmtId="2" fontId="12" fillId="15" borderId="1" xfId="1" applyNumberFormat="1" applyBorder="1" applyAlignment="1">
      <alignment horizontal="center" vertical="center"/>
    </xf>
  </cellXfs>
  <cellStyles count="2">
    <cellStyle name="ปกติ" xfId="0" builtinId="0"/>
    <cellStyle name="แย่" xfId="1" builtinId="2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opLeftCell="A3" workbookViewId="0">
      <selection sqref="A1:F1"/>
    </sheetView>
  </sheetViews>
  <sheetFormatPr defaultRowHeight="14.25" x14ac:dyDescent="0.2"/>
  <cols>
    <col min="1" max="1" width="30" customWidth="1"/>
    <col min="2" max="2" width="18" customWidth="1"/>
    <col min="3" max="3" width="20" customWidth="1"/>
    <col min="4" max="4" width="26" customWidth="1"/>
    <col min="5" max="5" width="28" customWidth="1"/>
    <col min="6" max="6" width="14" customWidth="1"/>
    <col min="7" max="7" width="12" customWidth="1"/>
  </cols>
  <sheetData>
    <row r="1" spans="1:7" ht="24" x14ac:dyDescent="0.2">
      <c r="A1" s="40" t="s">
        <v>0</v>
      </c>
      <c r="B1" s="39"/>
      <c r="C1" s="39"/>
      <c r="D1" s="39"/>
      <c r="E1" s="39"/>
      <c r="F1" s="39"/>
    </row>
    <row r="2" spans="1:7" ht="16.5" x14ac:dyDescent="0.2">
      <c r="A2" s="38" t="s">
        <v>1</v>
      </c>
      <c r="B2" s="39"/>
      <c r="C2" s="39"/>
      <c r="D2" s="39"/>
      <c r="E2" s="39"/>
      <c r="F2" s="39"/>
    </row>
    <row r="4" spans="1:7" ht="17.25" x14ac:dyDescent="0.3">
      <c r="A4" s="1" t="s">
        <v>2</v>
      </c>
    </row>
    <row r="5" spans="1:7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7" x14ac:dyDescent="0.2">
      <c r="A6" s="3" t="s">
        <v>8</v>
      </c>
      <c r="B6" s="4" t="s">
        <v>9</v>
      </c>
      <c r="C6" s="4" t="s">
        <v>10</v>
      </c>
      <c r="D6" s="3" t="s">
        <v>11</v>
      </c>
      <c r="E6" s="3" t="s">
        <v>12</v>
      </c>
    </row>
    <row r="7" spans="1:7" x14ac:dyDescent="0.2">
      <c r="A7" s="3" t="s">
        <v>13</v>
      </c>
      <c r="B7" s="4" t="s">
        <v>14</v>
      </c>
      <c r="C7" s="4" t="s">
        <v>15</v>
      </c>
      <c r="D7" s="3" t="s">
        <v>16</v>
      </c>
      <c r="E7" s="3" t="s">
        <v>17</v>
      </c>
    </row>
    <row r="8" spans="1:7" x14ac:dyDescent="0.2">
      <c r="A8" s="3" t="s">
        <v>18</v>
      </c>
      <c r="B8" s="4" t="s">
        <v>19</v>
      </c>
      <c r="C8" s="4" t="s">
        <v>20</v>
      </c>
      <c r="D8" s="3" t="s">
        <v>21</v>
      </c>
      <c r="E8" s="3" t="s">
        <v>22</v>
      </c>
    </row>
    <row r="9" spans="1:7" x14ac:dyDescent="0.2">
      <c r="A9" s="3" t="s">
        <v>23</v>
      </c>
      <c r="B9" s="4" t="s">
        <v>9</v>
      </c>
      <c r="C9" s="4" t="s">
        <v>10</v>
      </c>
      <c r="D9" s="3" t="s">
        <v>24</v>
      </c>
      <c r="E9" s="3" t="s">
        <v>25</v>
      </c>
    </row>
    <row r="10" spans="1:7" x14ac:dyDescent="0.2">
      <c r="A10" s="5" t="s">
        <v>26</v>
      </c>
      <c r="B10" s="6" t="s">
        <v>27</v>
      </c>
      <c r="C10" s="6" t="s">
        <v>28</v>
      </c>
      <c r="D10" s="5" t="s">
        <v>29</v>
      </c>
      <c r="E10" s="5" t="s">
        <v>30</v>
      </c>
    </row>
    <row r="13" spans="1:7" ht="17.25" x14ac:dyDescent="0.3">
      <c r="A13" s="1" t="s">
        <v>31</v>
      </c>
    </row>
    <row r="14" spans="1:7" x14ac:dyDescent="0.2">
      <c r="A14" s="7" t="s">
        <v>32</v>
      </c>
      <c r="B14" s="7" t="s">
        <v>33</v>
      </c>
      <c r="C14" s="7" t="s">
        <v>34</v>
      </c>
      <c r="D14" s="7" t="s">
        <v>35</v>
      </c>
      <c r="E14" s="7" t="s">
        <v>36</v>
      </c>
      <c r="F14" s="7" t="s">
        <v>37</v>
      </c>
      <c r="G14" s="7" t="s">
        <v>38</v>
      </c>
    </row>
    <row r="15" spans="1:7" x14ac:dyDescent="0.2">
      <c r="A15" s="8" t="s">
        <v>39</v>
      </c>
      <c r="B15" s="8" t="s">
        <v>40</v>
      </c>
      <c r="C15" s="9" t="s">
        <v>41</v>
      </c>
      <c r="D15" s="8">
        <f>COUNTIFS('ตัดเกรด ห้อง 1'!L7:L24, "&gt;=80", 'ตัดเกรด ห้อง 1'!L7:L24, "&lt;=100")</f>
        <v>4</v>
      </c>
      <c r="E15" s="8">
        <f>COUNTIFS('ตัดเกรด ห้อง 2'!L7:L22, "&gt;=80", 'ตัดเกรด ห้อง 2'!L7:L22, "&lt;=100")</f>
        <v>0</v>
      </c>
      <c r="F15" s="8">
        <f t="shared" ref="F15:F22" si="0">SUM(D15:E15)</f>
        <v>4</v>
      </c>
      <c r="G15" s="8" t="str">
        <f t="shared" ref="G15:G22" si="1">ROUND(F15/34*100, 1) &amp; "%"</f>
        <v>11.8%</v>
      </c>
    </row>
    <row r="16" spans="1:7" x14ac:dyDescent="0.2">
      <c r="A16" s="8" t="s">
        <v>42</v>
      </c>
      <c r="B16" s="8" t="s">
        <v>43</v>
      </c>
      <c r="C16" s="9" t="s">
        <v>44</v>
      </c>
      <c r="D16" s="8">
        <f>COUNTIFS('ตัดเกรด ห้อง 1'!L7:L24, "&gt;=75", 'ตัดเกรด ห้อง 1'!L7:L24, "&lt;80")</f>
        <v>2</v>
      </c>
      <c r="E16" s="8">
        <f>COUNTIFS('ตัดเกรด ห้อง 2'!L7:L22, "&gt;=75", 'ตัดเกรด ห้อง 2'!L7:L22, "&lt;80")</f>
        <v>3</v>
      </c>
      <c r="F16" s="8">
        <f t="shared" si="0"/>
        <v>5</v>
      </c>
      <c r="G16" s="8" t="str">
        <f t="shared" si="1"/>
        <v>14.7%</v>
      </c>
    </row>
    <row r="17" spans="1:7" x14ac:dyDescent="0.2">
      <c r="A17" s="4" t="s">
        <v>45</v>
      </c>
      <c r="B17" s="4" t="s">
        <v>46</v>
      </c>
      <c r="C17" s="3" t="s">
        <v>47</v>
      </c>
      <c r="D17" s="4">
        <f>COUNTIFS('ตัดเกรด ห้อง 1'!L7:L24, "&gt;=70", 'ตัดเกรด ห้อง 1'!L7:L24, "&lt;75")</f>
        <v>3</v>
      </c>
      <c r="E17" s="4">
        <f>COUNTIFS('ตัดเกรด ห้อง 2'!L7:L22, "&gt;=70", 'ตัดเกรด ห้อง 2'!L7:L22, "&lt;75")</f>
        <v>2</v>
      </c>
      <c r="F17" s="4">
        <f t="shared" si="0"/>
        <v>5</v>
      </c>
      <c r="G17" s="4" t="str">
        <f t="shared" si="1"/>
        <v>14.7%</v>
      </c>
    </row>
    <row r="18" spans="1:7" x14ac:dyDescent="0.2">
      <c r="A18" s="4" t="s">
        <v>48</v>
      </c>
      <c r="B18" s="4" t="s">
        <v>49</v>
      </c>
      <c r="C18" s="3" t="s">
        <v>50</v>
      </c>
      <c r="D18" s="4">
        <f>COUNTIFS('ตัดเกรด ห้อง 1'!L7:L24, "&gt;=65", 'ตัดเกรด ห้อง 1'!L7:L24, "&lt;70")</f>
        <v>2</v>
      </c>
      <c r="E18" s="4">
        <f>COUNTIFS('ตัดเกรด ห้อง 2'!L7:L22, "&gt;=65", 'ตัดเกรด ห้อง 2'!L7:L22, "&lt;70")</f>
        <v>2</v>
      </c>
      <c r="F18" s="4">
        <f t="shared" si="0"/>
        <v>4</v>
      </c>
      <c r="G18" s="4" t="str">
        <f t="shared" si="1"/>
        <v>11.8%</v>
      </c>
    </row>
    <row r="19" spans="1:7" x14ac:dyDescent="0.2">
      <c r="A19" s="4" t="s">
        <v>51</v>
      </c>
      <c r="B19" s="4" t="s">
        <v>52</v>
      </c>
      <c r="C19" s="3" t="s">
        <v>53</v>
      </c>
      <c r="D19" s="4">
        <f>COUNTIFS('ตัดเกรด ห้อง 1'!L7:L24, "&gt;=60", 'ตัดเกรด ห้อง 1'!L7:L24, "&lt;65")</f>
        <v>2</v>
      </c>
      <c r="E19" s="4">
        <f>COUNTIFS('ตัดเกรด ห้อง 2'!L7:L22, "&gt;=60", 'ตัดเกรด ห้อง 2'!L7:L22, "&lt;65")</f>
        <v>3</v>
      </c>
      <c r="F19" s="4">
        <f t="shared" si="0"/>
        <v>5</v>
      </c>
      <c r="G19" s="4" t="str">
        <f t="shared" si="1"/>
        <v>14.7%</v>
      </c>
    </row>
    <row r="20" spans="1:7" x14ac:dyDescent="0.2">
      <c r="A20" s="4" t="s">
        <v>54</v>
      </c>
      <c r="B20" s="4" t="s">
        <v>55</v>
      </c>
      <c r="C20" s="3" t="s">
        <v>56</v>
      </c>
      <c r="D20" s="4">
        <f>COUNTIFS('ตัดเกรด ห้อง 1'!L7:L24, "&gt;=55", 'ตัดเกรด ห้อง 1'!L7:L24, "&lt;60")</f>
        <v>1</v>
      </c>
      <c r="E20" s="4">
        <f>COUNTIFS('ตัดเกรด ห้อง 2'!L7:L22, "&gt;=55", 'ตัดเกรด ห้อง 2'!L7:L22, "&lt;60")</f>
        <v>1</v>
      </c>
      <c r="F20" s="4">
        <f t="shared" si="0"/>
        <v>2</v>
      </c>
      <c r="G20" s="4" t="str">
        <f t="shared" si="1"/>
        <v>5.9%</v>
      </c>
    </row>
    <row r="21" spans="1:7" x14ac:dyDescent="0.2">
      <c r="A21" s="4" t="s">
        <v>57</v>
      </c>
      <c r="B21" s="4" t="s">
        <v>58</v>
      </c>
      <c r="C21" s="3" t="s">
        <v>59</v>
      </c>
      <c r="D21" s="4">
        <f>COUNTIFS('ตัดเกรด ห้อง 1'!L7:L24, "&gt;=50", 'ตัดเกรด ห้อง 1'!L7:L24, "&lt;55")</f>
        <v>2</v>
      </c>
      <c r="E21" s="4">
        <f>COUNTIFS('ตัดเกรด ห้อง 2'!L7:L22, "&gt;=50", 'ตัดเกรด ห้อง 2'!L7:L22, "&lt;55")</f>
        <v>0</v>
      </c>
      <c r="F21" s="4">
        <f t="shared" si="0"/>
        <v>2</v>
      </c>
      <c r="G21" s="4" t="str">
        <f t="shared" si="1"/>
        <v>5.9%</v>
      </c>
    </row>
    <row r="22" spans="1:7" x14ac:dyDescent="0.2">
      <c r="A22" s="10" t="s">
        <v>60</v>
      </c>
      <c r="B22" s="10" t="s">
        <v>61</v>
      </c>
      <c r="C22" s="11" t="s">
        <v>62</v>
      </c>
      <c r="D22" s="10">
        <f>COUNTIFS('ตัดเกรด ห้อง 1'!L7:L24, "&gt;=0", 'ตัดเกรด ห้อง 1'!L7:L24, "&lt;50")</f>
        <v>2</v>
      </c>
      <c r="E22" s="10">
        <f>COUNTIFS('ตัดเกรด ห้อง 2'!L7:L22, "&gt;=0", 'ตัดเกรด ห้อง 2'!L7:L22, "&lt;50")</f>
        <v>5</v>
      </c>
      <c r="F22" s="10">
        <f t="shared" si="0"/>
        <v>7</v>
      </c>
      <c r="G22" s="10" t="str">
        <f t="shared" si="1"/>
        <v>20.6%</v>
      </c>
    </row>
    <row r="23" spans="1:7" x14ac:dyDescent="0.2">
      <c r="A23" s="12" t="s">
        <v>63</v>
      </c>
      <c r="B23" s="12" t="s">
        <v>64</v>
      </c>
      <c r="C23" s="13" t="s">
        <v>65</v>
      </c>
      <c r="D23" s="12">
        <f>SUM(D15:D22)</f>
        <v>18</v>
      </c>
      <c r="E23" s="12">
        <f>SUM(E15:E22)</f>
        <v>16</v>
      </c>
      <c r="F23" s="12">
        <f>SUM(F15:F22)</f>
        <v>34</v>
      </c>
      <c r="G23" s="12" t="s">
        <v>66</v>
      </c>
    </row>
    <row r="26" spans="1:7" ht="17.25" x14ac:dyDescent="0.3">
      <c r="A26" s="1" t="s">
        <v>67</v>
      </c>
    </row>
    <row r="27" spans="1:7" x14ac:dyDescent="0.2">
      <c r="A27" s="2" t="s">
        <v>68</v>
      </c>
      <c r="B27" s="2" t="s">
        <v>69</v>
      </c>
      <c r="C27" s="2" t="s">
        <v>70</v>
      </c>
      <c r="D27" s="2" t="s">
        <v>71</v>
      </c>
      <c r="E27" s="2" t="s">
        <v>72</v>
      </c>
    </row>
    <row r="28" spans="1:7" x14ac:dyDescent="0.2">
      <c r="A28" s="14" t="s">
        <v>73</v>
      </c>
      <c r="B28" s="4">
        <f>ROUND(AVERAGE('ตัดเกรด ห้อง 1'!M7:M24), 2)</f>
        <v>2.4700000000000002</v>
      </c>
      <c r="C28" s="4">
        <f>ROUND(AVERAGE('ตัดเกรด ห้อง 2'!M7:M22), 2)</f>
        <v>1.81</v>
      </c>
      <c r="D28" s="4">
        <f>ROUND((AVERAGE('ตัดเกรด ห้อง 1'!M7:M24)*18 + AVERAGE('ตัดเกรด ห้อง 2'!M7:M22)*16)/34, 2)</f>
        <v>2.16</v>
      </c>
      <c r="E28" s="4" t="s">
        <v>74</v>
      </c>
    </row>
    <row r="29" spans="1:7" x14ac:dyDescent="0.2">
      <c r="A29" s="14" t="s">
        <v>75</v>
      </c>
      <c r="B29" s="4">
        <f>ROUND(AVERAGE('ตัดเกรด ห้อง 1'!L7:L24), 2)</f>
        <v>65.39</v>
      </c>
      <c r="C29" s="4">
        <f>ROUND(AVERAGE('ตัดเกรด ห้อง 2'!L7:L22), 2)</f>
        <v>58.71</v>
      </c>
      <c r="D29" s="4">
        <f>ROUND((AVERAGE('ตัดเกรด ห้อง 1'!L7:L24)*18 + AVERAGE('ตัดเกรด ห้อง 2'!L7:L22)*16)/34, 2)</f>
        <v>62.25</v>
      </c>
      <c r="E29" s="4" t="s">
        <v>76</v>
      </c>
    </row>
    <row r="30" spans="1:7" x14ac:dyDescent="0.2">
      <c r="A30" s="14" t="s">
        <v>77</v>
      </c>
      <c r="B30" s="4">
        <f>MAX('ตัดเกรด ห้อง 1'!L7:L24)</f>
        <v>87.6</v>
      </c>
      <c r="C30" s="4">
        <f>MAX('ตัดเกรด ห้อง 2'!L7:L22)</f>
        <v>79.3</v>
      </c>
      <c r="D30" s="4">
        <f>MAX('ตัดเกรด ห้อง 1'!L7:L24, 'ตัดเกรด ห้อง 2'!L7:L22)</f>
        <v>87.6</v>
      </c>
      <c r="E30" s="4" t="s">
        <v>78</v>
      </c>
    </row>
    <row r="31" spans="1:7" x14ac:dyDescent="0.2">
      <c r="A31" s="14" t="s">
        <v>79</v>
      </c>
      <c r="B31" s="4">
        <f>MIN('ตัดเกรด ห้อง 1'!L7:L24)</f>
        <v>14.5</v>
      </c>
      <c r="C31" s="4">
        <f>MIN('ตัดเกรด ห้อง 2'!L7:L22)</f>
        <v>24.5</v>
      </c>
      <c r="D31" s="4">
        <f>MIN('ตัดเกรด ห้อง 1'!L7:L24, 'ตัดเกรด ห้อง 2'!L7:L22)</f>
        <v>14.5</v>
      </c>
      <c r="E31" s="4" t="s">
        <v>80</v>
      </c>
    </row>
    <row r="32" spans="1:7" x14ac:dyDescent="0.2">
      <c r="A32" s="14" t="s">
        <v>81</v>
      </c>
      <c r="B32" s="4">
        <f>COUNTIF('ตัดเกรด ห้อง 1'!M7:M24, "&gt;=1.0")</f>
        <v>16</v>
      </c>
      <c r="C32" s="4">
        <f>COUNTIF('ตัดเกรด ห้อง 2'!M7:M22, "&gt;=1.0")</f>
        <v>11</v>
      </c>
      <c r="D32" s="4">
        <f>COUNTIF('ตัดเกรด ห้อง 1'!M7:M24, "&gt;=1.0") + COUNTIF('ตัดเกรด ห้อง 2'!M7:M22, "&gt;=1.0")</f>
        <v>27</v>
      </c>
      <c r="E32" s="4" t="s">
        <v>82</v>
      </c>
    </row>
    <row r="33" spans="1:5" x14ac:dyDescent="0.2">
      <c r="A33" s="14" t="s">
        <v>83</v>
      </c>
      <c r="B33" s="4" t="str">
        <f>ROUND(B32/18*100, 1) &amp; "%"</f>
        <v>88.9%</v>
      </c>
      <c r="C33" s="4" t="str">
        <f>ROUND(C32/16*100, 1) &amp; "%"</f>
        <v>68.8%</v>
      </c>
      <c r="D33" s="4" t="str">
        <f>ROUND(D32/34*100, 1) &amp; "%"</f>
        <v>79.4%</v>
      </c>
      <c r="E33" s="4" t="s">
        <v>84</v>
      </c>
    </row>
    <row r="34" spans="1:5" x14ac:dyDescent="0.2">
      <c r="A34" s="14" t="s">
        <v>85</v>
      </c>
      <c r="B34" s="4">
        <f>COUNTIF('ตัดเกรด ห้อง 1'!M7:M24, "&gt;=3.0")</f>
        <v>9</v>
      </c>
      <c r="C34" s="4">
        <f>COUNTIF('ตัดเกรด ห้อง 2'!M7:M22, "&gt;=3.0")</f>
        <v>5</v>
      </c>
      <c r="D34" s="4">
        <f>COUNTIF('ตัดเกรด ห้อง 1'!M7:M24, "&gt;=3.0") + COUNTIF('ตัดเกรด ห้อง 2'!M7:M22, "&gt;=3.0")</f>
        <v>14</v>
      </c>
      <c r="E34" s="4" t="s">
        <v>86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workbookViewId="0"/>
  </sheetViews>
  <sheetFormatPr defaultRowHeight="14.25" x14ac:dyDescent="0.2"/>
  <cols>
    <col min="1" max="1" width="7" customWidth="1"/>
    <col min="2" max="2" width="15" customWidth="1"/>
    <col min="3" max="3" width="8" customWidth="1"/>
    <col min="4" max="4" width="26" customWidth="1"/>
    <col min="5" max="5" width="14" customWidth="1"/>
    <col min="6" max="6" width="12" customWidth="1"/>
    <col min="7" max="9" width="13" customWidth="1"/>
    <col min="10" max="10" width="12" customWidth="1"/>
    <col min="11" max="11" width="13" customWidth="1"/>
    <col min="12" max="12" width="15" customWidth="1"/>
    <col min="13" max="13" width="10" customWidth="1"/>
    <col min="14" max="14" width="14" customWidth="1"/>
    <col min="15" max="15" width="11" customWidth="1"/>
  </cols>
  <sheetData>
    <row r="1" spans="1:15" ht="24" x14ac:dyDescent="0.2">
      <c r="A1" s="40" t="s">
        <v>87</v>
      </c>
      <c r="B1" s="39"/>
      <c r="C1" s="39"/>
      <c r="D1" s="44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ht="16.5" x14ac:dyDescent="0.2">
      <c r="A2" s="38" t="s">
        <v>88</v>
      </c>
      <c r="B2" s="39"/>
      <c r="C2" s="39"/>
      <c r="D2" s="44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2">
      <c r="D3" s="15"/>
    </row>
    <row r="4" spans="1:15" ht="27.95" customHeight="1" x14ac:dyDescent="0.2">
      <c r="A4" s="41" t="s">
        <v>89</v>
      </c>
      <c r="B4" s="39"/>
      <c r="C4" s="39"/>
      <c r="D4" s="44"/>
      <c r="E4" s="41" t="s">
        <v>90</v>
      </c>
      <c r="F4" s="41" t="s">
        <v>91</v>
      </c>
      <c r="G4" s="39"/>
      <c r="H4" s="41" t="s">
        <v>92</v>
      </c>
      <c r="I4" s="39"/>
      <c r="J4" s="41" t="s">
        <v>93</v>
      </c>
      <c r="K4" s="39"/>
      <c r="L4" s="41" t="s">
        <v>94</v>
      </c>
      <c r="M4" s="39"/>
      <c r="N4" s="39"/>
      <c r="O4" s="39"/>
    </row>
    <row r="5" spans="1:15" ht="36" customHeight="1" x14ac:dyDescent="0.2">
      <c r="A5" s="16" t="s">
        <v>95</v>
      </c>
      <c r="B5" s="16" t="s">
        <v>96</v>
      </c>
      <c r="C5" s="16" t="s">
        <v>97</v>
      </c>
      <c r="D5" s="16" t="s">
        <v>98</v>
      </c>
      <c r="E5" s="16" t="s">
        <v>99</v>
      </c>
      <c r="F5" s="16" t="s">
        <v>100</v>
      </c>
      <c r="G5" s="16" t="s">
        <v>101</v>
      </c>
      <c r="H5" s="16" t="s">
        <v>102</v>
      </c>
      <c r="I5" s="16" t="s">
        <v>103</v>
      </c>
      <c r="J5" s="16" t="s">
        <v>104</v>
      </c>
      <c r="K5" s="16" t="s">
        <v>105</v>
      </c>
      <c r="L5" s="16" t="s">
        <v>106</v>
      </c>
      <c r="M5" s="16" t="s">
        <v>107</v>
      </c>
      <c r="N5" s="16" t="s">
        <v>108</v>
      </c>
      <c r="O5" s="16" t="s">
        <v>109</v>
      </c>
    </row>
    <row r="6" spans="1:15" ht="24" customHeight="1" x14ac:dyDescent="0.2">
      <c r="A6" s="6"/>
      <c r="B6" s="6"/>
      <c r="C6" s="6"/>
      <c r="D6" s="17" t="s">
        <v>110</v>
      </c>
      <c r="E6" s="6">
        <v>20</v>
      </c>
      <c r="F6" s="6">
        <v>100</v>
      </c>
      <c r="G6" s="6">
        <v>50</v>
      </c>
      <c r="H6" s="6">
        <v>100</v>
      </c>
      <c r="I6" s="6">
        <v>10</v>
      </c>
      <c r="J6" s="6">
        <v>50</v>
      </c>
      <c r="K6" s="6">
        <v>20</v>
      </c>
      <c r="L6" s="6">
        <v>100</v>
      </c>
      <c r="M6" s="6">
        <v>4</v>
      </c>
      <c r="N6" s="6" t="s">
        <v>64</v>
      </c>
      <c r="O6" s="6" t="s">
        <v>64</v>
      </c>
    </row>
    <row r="7" spans="1:15" ht="21.95" customHeight="1" x14ac:dyDescent="0.2">
      <c r="A7" s="18">
        <v>1</v>
      </c>
      <c r="B7" s="18" t="s">
        <v>111</v>
      </c>
      <c r="C7" s="18" t="s">
        <v>112</v>
      </c>
      <c r="D7" s="19" t="s">
        <v>113</v>
      </c>
      <c r="E7" s="20">
        <v>20</v>
      </c>
      <c r="F7" s="21">
        <v>66</v>
      </c>
      <c r="G7" s="22">
        <f t="shared" ref="G7:G24" si="0">IF(ISNUMBER(F7), ROUND(F7/$F$6*$G$6, 2), 0)</f>
        <v>33</v>
      </c>
      <c r="H7" s="18">
        <v>23</v>
      </c>
      <c r="I7" s="23">
        <f t="shared" ref="I7:I24" si="1">IF(ISNUMBER(H7), ROUND(H7/$H$6*$I$6, 2), 0)</f>
        <v>2.2999999999999998</v>
      </c>
      <c r="J7" s="18">
        <v>24</v>
      </c>
      <c r="K7" s="24">
        <f t="shared" ref="K7:K24" si="2">IF(ISNUMBER(J7), ROUND(J7/$J$6*$K$6, 2), 0)</f>
        <v>9.6</v>
      </c>
      <c r="L7" s="25">
        <f t="shared" ref="L7:L24" si="3">ROUND(E7+G7+I7+K7, 2)</f>
        <v>64.900000000000006</v>
      </c>
      <c r="M7" s="26">
        <f t="shared" ref="M7:M24" si="4">IF(L7&gt;=80, 4, IF(L7&gt;=75, 3.5, IF(L7&gt;=70, 3, IF(L7&gt;=65, 2.5, IF(L7&gt;=60, 2, IF(L7&gt;=55, 1.5, IF(L7&gt;=50, 1, 0)))))))</f>
        <v>2</v>
      </c>
      <c r="N7" s="18" t="str">
        <f t="shared" ref="N7:N24" si="5">IF(M7&gt;=4, "ดีเยี่ยม", IF(M7&gt;=3.5, "ดีมาก", IF(M7&gt;=3, "ดี", IF(M7&gt;=2.5, "ค่อนข้างดี", IF(M7&gt;=2, "พอใช้", IF(M7&gt;=1.5, "อ่อน", IF(M7&gt;=1, "อ่อนมาก", "ไม่ผ่าน")))))))</f>
        <v>พอใช้</v>
      </c>
      <c r="O7" s="27">
        <f t="shared" ref="O7:O24" si="6">RANK(L7, $L$7:$L$24)</f>
        <v>12</v>
      </c>
    </row>
    <row r="8" spans="1:15" ht="21.95" customHeight="1" x14ac:dyDescent="0.2">
      <c r="A8" s="28">
        <v>2</v>
      </c>
      <c r="B8" s="28" t="s">
        <v>114</v>
      </c>
      <c r="C8" s="28" t="s">
        <v>115</v>
      </c>
      <c r="D8" s="29" t="s">
        <v>116</v>
      </c>
      <c r="E8" s="20">
        <v>20</v>
      </c>
      <c r="F8" s="30">
        <v>58</v>
      </c>
      <c r="G8" s="22">
        <f t="shared" si="0"/>
        <v>29</v>
      </c>
      <c r="H8" s="28">
        <v>11</v>
      </c>
      <c r="I8" s="23">
        <f t="shared" si="1"/>
        <v>1.1000000000000001</v>
      </c>
      <c r="J8" s="28">
        <v>18</v>
      </c>
      <c r="K8" s="24">
        <f t="shared" si="2"/>
        <v>7.2</v>
      </c>
      <c r="L8" s="25">
        <f t="shared" si="3"/>
        <v>57.3</v>
      </c>
      <c r="M8" s="26">
        <f t="shared" si="4"/>
        <v>1.5</v>
      </c>
      <c r="N8" s="28" t="str">
        <f t="shared" si="5"/>
        <v>อ่อน</v>
      </c>
      <c r="O8" s="31">
        <f t="shared" si="6"/>
        <v>14</v>
      </c>
    </row>
    <row r="9" spans="1:15" ht="21.95" customHeight="1" x14ac:dyDescent="0.2">
      <c r="A9" s="18">
        <v>3</v>
      </c>
      <c r="B9" s="18" t="s">
        <v>117</v>
      </c>
      <c r="C9" s="18" t="s">
        <v>118</v>
      </c>
      <c r="D9" s="19" t="s">
        <v>119</v>
      </c>
      <c r="E9" s="20">
        <v>20</v>
      </c>
      <c r="F9" s="21">
        <v>87</v>
      </c>
      <c r="G9" s="22">
        <f t="shared" si="0"/>
        <v>43.5</v>
      </c>
      <c r="H9" s="18">
        <v>56</v>
      </c>
      <c r="I9" s="23">
        <f t="shared" si="1"/>
        <v>5.6</v>
      </c>
      <c r="J9" s="18">
        <v>44</v>
      </c>
      <c r="K9" s="24">
        <f t="shared" si="2"/>
        <v>17.600000000000001</v>
      </c>
      <c r="L9" s="25">
        <f t="shared" si="3"/>
        <v>86.7</v>
      </c>
      <c r="M9" s="26">
        <f t="shared" si="4"/>
        <v>4</v>
      </c>
      <c r="N9" s="18" t="str">
        <f t="shared" si="5"/>
        <v>ดีเยี่ยม</v>
      </c>
      <c r="O9" s="27">
        <f t="shared" si="6"/>
        <v>2</v>
      </c>
    </row>
    <row r="10" spans="1:15" ht="21.95" customHeight="1" x14ac:dyDescent="0.2">
      <c r="A10" s="28">
        <v>4</v>
      </c>
      <c r="B10" s="28" t="s">
        <v>120</v>
      </c>
      <c r="C10" s="28" t="s">
        <v>121</v>
      </c>
      <c r="D10" s="29" t="s">
        <v>122</v>
      </c>
      <c r="E10" s="20">
        <v>20</v>
      </c>
      <c r="F10" s="30">
        <v>87</v>
      </c>
      <c r="G10" s="22">
        <f t="shared" si="0"/>
        <v>43.5</v>
      </c>
      <c r="H10" s="28">
        <v>20</v>
      </c>
      <c r="I10" s="23">
        <f t="shared" si="1"/>
        <v>2</v>
      </c>
      <c r="J10" s="28">
        <v>23</v>
      </c>
      <c r="K10" s="24">
        <f t="shared" si="2"/>
        <v>9.1999999999999993</v>
      </c>
      <c r="L10" s="25">
        <f t="shared" si="3"/>
        <v>74.7</v>
      </c>
      <c r="M10" s="26">
        <f t="shared" si="4"/>
        <v>3</v>
      </c>
      <c r="N10" s="28" t="str">
        <f t="shared" si="5"/>
        <v>ดี</v>
      </c>
      <c r="O10" s="31">
        <f t="shared" si="6"/>
        <v>7</v>
      </c>
    </row>
    <row r="11" spans="1:15" ht="21.95" customHeight="1" x14ac:dyDescent="0.2">
      <c r="A11" s="18">
        <v>5</v>
      </c>
      <c r="B11" s="18" t="s">
        <v>123</v>
      </c>
      <c r="C11" s="18" t="s">
        <v>124</v>
      </c>
      <c r="D11" s="19" t="s">
        <v>125</v>
      </c>
      <c r="E11" s="20">
        <v>10</v>
      </c>
      <c r="F11" s="21">
        <v>77</v>
      </c>
      <c r="G11" s="22">
        <f t="shared" si="0"/>
        <v>38.5</v>
      </c>
      <c r="H11" s="18" t="s">
        <v>64</v>
      </c>
      <c r="I11" s="23">
        <f t="shared" si="1"/>
        <v>0</v>
      </c>
      <c r="J11" s="18">
        <v>32</v>
      </c>
      <c r="K11" s="24">
        <f t="shared" si="2"/>
        <v>12.8</v>
      </c>
      <c r="L11" s="25">
        <f t="shared" si="3"/>
        <v>61.3</v>
      </c>
      <c r="M11" s="26">
        <f t="shared" si="4"/>
        <v>2</v>
      </c>
      <c r="N11" s="18" t="str">
        <f t="shared" si="5"/>
        <v>พอใช้</v>
      </c>
      <c r="O11" s="27">
        <f t="shared" si="6"/>
        <v>13</v>
      </c>
    </row>
    <row r="12" spans="1:15" ht="21.95" customHeight="1" x14ac:dyDescent="0.2">
      <c r="A12" s="28">
        <v>6</v>
      </c>
      <c r="B12" s="28" t="s">
        <v>126</v>
      </c>
      <c r="C12" s="28" t="s">
        <v>127</v>
      </c>
      <c r="D12" s="29" t="s">
        <v>128</v>
      </c>
      <c r="E12" s="20">
        <v>20</v>
      </c>
      <c r="F12" s="30">
        <v>68</v>
      </c>
      <c r="G12" s="22">
        <f t="shared" si="0"/>
        <v>34</v>
      </c>
      <c r="H12" s="28">
        <v>23</v>
      </c>
      <c r="I12" s="23">
        <f t="shared" si="1"/>
        <v>2.2999999999999998</v>
      </c>
      <c r="J12" s="28">
        <v>26</v>
      </c>
      <c r="K12" s="24">
        <f t="shared" si="2"/>
        <v>10.4</v>
      </c>
      <c r="L12" s="25">
        <f t="shared" si="3"/>
        <v>66.7</v>
      </c>
      <c r="M12" s="26">
        <f t="shared" si="4"/>
        <v>2.5</v>
      </c>
      <c r="N12" s="28" t="str">
        <f t="shared" si="5"/>
        <v>ค่อนข้างดี</v>
      </c>
      <c r="O12" s="31">
        <f t="shared" si="6"/>
        <v>11</v>
      </c>
    </row>
    <row r="13" spans="1:15" ht="21.95" customHeight="1" x14ac:dyDescent="0.2">
      <c r="A13" s="18">
        <v>7</v>
      </c>
      <c r="B13" s="18" t="s">
        <v>129</v>
      </c>
      <c r="C13" s="18" t="s">
        <v>130</v>
      </c>
      <c r="D13" s="19" t="s">
        <v>131</v>
      </c>
      <c r="E13" s="20">
        <v>20</v>
      </c>
      <c r="F13" s="21">
        <v>35</v>
      </c>
      <c r="G13" s="22">
        <f t="shared" si="0"/>
        <v>17.5</v>
      </c>
      <c r="H13" s="18">
        <v>35</v>
      </c>
      <c r="I13" s="23">
        <f t="shared" si="1"/>
        <v>3.5</v>
      </c>
      <c r="J13" s="21">
        <v>23.5</v>
      </c>
      <c r="K13" s="24">
        <f t="shared" si="2"/>
        <v>9.4</v>
      </c>
      <c r="L13" s="25">
        <f t="shared" si="3"/>
        <v>50.4</v>
      </c>
      <c r="M13" s="26">
        <f t="shared" si="4"/>
        <v>1</v>
      </c>
      <c r="N13" s="18" t="str">
        <f t="shared" si="5"/>
        <v>อ่อนมาก</v>
      </c>
      <c r="O13" s="27">
        <f t="shared" si="6"/>
        <v>16</v>
      </c>
    </row>
    <row r="14" spans="1:15" ht="21.95" customHeight="1" x14ac:dyDescent="0.2">
      <c r="A14" s="28">
        <v>8</v>
      </c>
      <c r="B14" s="28" t="s">
        <v>132</v>
      </c>
      <c r="C14" s="28" t="s">
        <v>133</v>
      </c>
      <c r="D14" s="29" t="s">
        <v>134</v>
      </c>
      <c r="E14" s="20">
        <v>10</v>
      </c>
      <c r="F14" s="30">
        <v>43</v>
      </c>
      <c r="G14" s="22">
        <f t="shared" si="0"/>
        <v>21.5</v>
      </c>
      <c r="H14" s="28" t="s">
        <v>64</v>
      </c>
      <c r="I14" s="23">
        <f t="shared" si="1"/>
        <v>0</v>
      </c>
      <c r="J14" s="28" t="s">
        <v>64</v>
      </c>
      <c r="K14" s="24">
        <f t="shared" si="2"/>
        <v>0</v>
      </c>
      <c r="L14" s="25">
        <f t="shared" si="3"/>
        <v>31.5</v>
      </c>
      <c r="M14" s="26">
        <f t="shared" si="4"/>
        <v>0</v>
      </c>
      <c r="N14" s="28" t="str">
        <f t="shared" si="5"/>
        <v>ไม่ผ่าน</v>
      </c>
      <c r="O14" s="31">
        <f t="shared" si="6"/>
        <v>17</v>
      </c>
    </row>
    <row r="15" spans="1:15" ht="21.95" customHeight="1" x14ac:dyDescent="0.2">
      <c r="A15" s="18">
        <v>9</v>
      </c>
      <c r="B15" s="18" t="s">
        <v>135</v>
      </c>
      <c r="C15" s="18" t="s">
        <v>136</v>
      </c>
      <c r="D15" s="19" t="s">
        <v>137</v>
      </c>
      <c r="E15" s="20">
        <v>20</v>
      </c>
      <c r="F15" s="21">
        <v>76</v>
      </c>
      <c r="G15" s="22">
        <f t="shared" si="0"/>
        <v>38</v>
      </c>
      <c r="H15" s="18">
        <v>28</v>
      </c>
      <c r="I15" s="23">
        <f t="shared" si="1"/>
        <v>2.8</v>
      </c>
      <c r="J15" s="18">
        <v>21</v>
      </c>
      <c r="K15" s="24">
        <f t="shared" si="2"/>
        <v>8.4</v>
      </c>
      <c r="L15" s="25">
        <f t="shared" si="3"/>
        <v>69.2</v>
      </c>
      <c r="M15" s="26">
        <f t="shared" si="4"/>
        <v>2.5</v>
      </c>
      <c r="N15" s="18" t="str">
        <f t="shared" si="5"/>
        <v>ค่อนข้างดี</v>
      </c>
      <c r="O15" s="27">
        <f t="shared" si="6"/>
        <v>10</v>
      </c>
    </row>
    <row r="16" spans="1:15" ht="21.95" customHeight="1" x14ac:dyDescent="0.2">
      <c r="A16" s="28">
        <v>10</v>
      </c>
      <c r="B16" s="28" t="s">
        <v>138</v>
      </c>
      <c r="C16" s="28" t="s">
        <v>139</v>
      </c>
      <c r="D16" s="29" t="s">
        <v>140</v>
      </c>
      <c r="E16" s="20">
        <v>20</v>
      </c>
      <c r="F16" s="30">
        <v>55</v>
      </c>
      <c r="G16" s="22">
        <f t="shared" si="0"/>
        <v>27.5</v>
      </c>
      <c r="H16" s="28">
        <v>13</v>
      </c>
      <c r="I16" s="23">
        <f t="shared" si="1"/>
        <v>1.3</v>
      </c>
      <c r="J16" s="28">
        <v>6</v>
      </c>
      <c r="K16" s="24">
        <f t="shared" si="2"/>
        <v>2.4</v>
      </c>
      <c r="L16" s="25">
        <f t="shared" si="3"/>
        <v>51.2</v>
      </c>
      <c r="M16" s="26">
        <f t="shared" si="4"/>
        <v>1</v>
      </c>
      <c r="N16" s="28" t="str">
        <f t="shared" si="5"/>
        <v>อ่อนมาก</v>
      </c>
      <c r="O16" s="31">
        <f t="shared" si="6"/>
        <v>15</v>
      </c>
    </row>
    <row r="17" spans="1:15" ht="21.95" customHeight="1" x14ac:dyDescent="0.2">
      <c r="A17" s="18">
        <v>11</v>
      </c>
      <c r="B17" s="18" t="s">
        <v>141</v>
      </c>
      <c r="C17" s="18" t="s">
        <v>142</v>
      </c>
      <c r="D17" s="19" t="s">
        <v>143</v>
      </c>
      <c r="E17" s="20">
        <v>20</v>
      </c>
      <c r="F17" s="21">
        <v>88</v>
      </c>
      <c r="G17" s="22">
        <f t="shared" si="0"/>
        <v>44</v>
      </c>
      <c r="H17" s="18">
        <v>30</v>
      </c>
      <c r="I17" s="23">
        <f t="shared" si="1"/>
        <v>3</v>
      </c>
      <c r="J17" s="18">
        <v>30</v>
      </c>
      <c r="K17" s="24">
        <f t="shared" si="2"/>
        <v>12</v>
      </c>
      <c r="L17" s="25">
        <f t="shared" si="3"/>
        <v>79</v>
      </c>
      <c r="M17" s="26">
        <f t="shared" si="4"/>
        <v>3.5</v>
      </c>
      <c r="N17" s="18" t="str">
        <f t="shared" si="5"/>
        <v>ดีมาก</v>
      </c>
      <c r="O17" s="27">
        <f t="shared" si="6"/>
        <v>5</v>
      </c>
    </row>
    <row r="18" spans="1:15" ht="21.95" customHeight="1" x14ac:dyDescent="0.2">
      <c r="A18" s="28">
        <v>12</v>
      </c>
      <c r="B18" s="28" t="s">
        <v>144</v>
      </c>
      <c r="C18" s="28" t="s">
        <v>145</v>
      </c>
      <c r="D18" s="29" t="s">
        <v>146</v>
      </c>
      <c r="E18" s="20">
        <v>20</v>
      </c>
      <c r="F18" s="30">
        <v>87</v>
      </c>
      <c r="G18" s="22">
        <f t="shared" si="0"/>
        <v>43.5</v>
      </c>
      <c r="H18" s="28">
        <v>50</v>
      </c>
      <c r="I18" s="23">
        <f t="shared" si="1"/>
        <v>5</v>
      </c>
      <c r="J18" s="28">
        <v>34</v>
      </c>
      <c r="K18" s="24">
        <f t="shared" si="2"/>
        <v>13.6</v>
      </c>
      <c r="L18" s="25">
        <f t="shared" si="3"/>
        <v>82.1</v>
      </c>
      <c r="M18" s="26">
        <f t="shared" si="4"/>
        <v>4</v>
      </c>
      <c r="N18" s="28" t="str">
        <f t="shared" si="5"/>
        <v>ดีเยี่ยม</v>
      </c>
      <c r="O18" s="31">
        <f t="shared" si="6"/>
        <v>3</v>
      </c>
    </row>
    <row r="19" spans="1:15" ht="21.95" customHeight="1" x14ac:dyDescent="0.2">
      <c r="A19" s="18">
        <v>13</v>
      </c>
      <c r="B19" s="18" t="s">
        <v>147</v>
      </c>
      <c r="C19" s="18" t="s">
        <v>148</v>
      </c>
      <c r="D19" s="19" t="s">
        <v>149</v>
      </c>
      <c r="E19" s="20">
        <v>20</v>
      </c>
      <c r="F19" s="21">
        <v>78</v>
      </c>
      <c r="G19" s="22">
        <f t="shared" si="0"/>
        <v>39</v>
      </c>
      <c r="H19" s="18">
        <v>24</v>
      </c>
      <c r="I19" s="23">
        <f t="shared" si="1"/>
        <v>2.4</v>
      </c>
      <c r="J19" s="18">
        <v>22</v>
      </c>
      <c r="K19" s="24">
        <f t="shared" si="2"/>
        <v>8.8000000000000007</v>
      </c>
      <c r="L19" s="25">
        <f t="shared" si="3"/>
        <v>70.2</v>
      </c>
      <c r="M19" s="26">
        <f t="shared" si="4"/>
        <v>3</v>
      </c>
      <c r="N19" s="18" t="str">
        <f t="shared" si="5"/>
        <v>ดี</v>
      </c>
      <c r="O19" s="27">
        <f t="shared" si="6"/>
        <v>9</v>
      </c>
    </row>
    <row r="20" spans="1:15" ht="21.95" customHeight="1" x14ac:dyDescent="0.2">
      <c r="A20" s="28">
        <v>14</v>
      </c>
      <c r="B20" s="28" t="s">
        <v>150</v>
      </c>
      <c r="C20" s="28" t="s">
        <v>151</v>
      </c>
      <c r="D20" s="29" t="s">
        <v>152</v>
      </c>
      <c r="E20" s="20">
        <v>10</v>
      </c>
      <c r="F20" s="30">
        <v>9</v>
      </c>
      <c r="G20" s="22">
        <f t="shared" si="0"/>
        <v>4.5</v>
      </c>
      <c r="H20" s="28" t="s">
        <v>64</v>
      </c>
      <c r="I20" s="23">
        <f t="shared" si="1"/>
        <v>0</v>
      </c>
      <c r="J20" s="28" t="s">
        <v>64</v>
      </c>
      <c r="K20" s="24">
        <f t="shared" si="2"/>
        <v>0</v>
      </c>
      <c r="L20" s="25">
        <f t="shared" si="3"/>
        <v>14.5</v>
      </c>
      <c r="M20" s="26">
        <f t="shared" si="4"/>
        <v>0</v>
      </c>
      <c r="N20" s="28" t="str">
        <f t="shared" si="5"/>
        <v>ไม่ผ่าน</v>
      </c>
      <c r="O20" s="31">
        <f t="shared" si="6"/>
        <v>18</v>
      </c>
    </row>
    <row r="21" spans="1:15" ht="21.95" customHeight="1" x14ac:dyDescent="0.2">
      <c r="A21" s="18">
        <v>15</v>
      </c>
      <c r="B21" s="18" t="s">
        <v>153</v>
      </c>
      <c r="C21" s="18" t="s">
        <v>154</v>
      </c>
      <c r="D21" s="19" t="s">
        <v>155</v>
      </c>
      <c r="E21" s="20">
        <v>20</v>
      </c>
      <c r="F21" s="21">
        <v>85</v>
      </c>
      <c r="G21" s="22">
        <f t="shared" si="0"/>
        <v>42.5</v>
      </c>
      <c r="H21" s="18">
        <v>71</v>
      </c>
      <c r="I21" s="23">
        <f t="shared" si="1"/>
        <v>7.1</v>
      </c>
      <c r="J21" s="18">
        <v>45</v>
      </c>
      <c r="K21" s="24">
        <f t="shared" si="2"/>
        <v>18</v>
      </c>
      <c r="L21" s="25">
        <f t="shared" si="3"/>
        <v>87.6</v>
      </c>
      <c r="M21" s="26">
        <f t="shared" si="4"/>
        <v>4</v>
      </c>
      <c r="N21" s="18" t="str">
        <f t="shared" si="5"/>
        <v>ดีเยี่ยม</v>
      </c>
      <c r="O21" s="27">
        <f t="shared" si="6"/>
        <v>1</v>
      </c>
    </row>
    <row r="22" spans="1:15" ht="21.95" customHeight="1" x14ac:dyDescent="0.2">
      <c r="A22" s="28">
        <v>16</v>
      </c>
      <c r="B22" s="28" t="s">
        <v>156</v>
      </c>
      <c r="C22" s="28" t="s">
        <v>157</v>
      </c>
      <c r="D22" s="29" t="s">
        <v>158</v>
      </c>
      <c r="E22" s="20">
        <v>20</v>
      </c>
      <c r="F22" s="30">
        <v>87</v>
      </c>
      <c r="G22" s="22">
        <f t="shared" si="0"/>
        <v>43.5</v>
      </c>
      <c r="H22" s="28">
        <v>34</v>
      </c>
      <c r="I22" s="23">
        <f t="shared" si="1"/>
        <v>3.4</v>
      </c>
      <c r="J22" s="28">
        <v>17</v>
      </c>
      <c r="K22" s="24">
        <f t="shared" si="2"/>
        <v>6.8</v>
      </c>
      <c r="L22" s="25">
        <f t="shared" si="3"/>
        <v>73.7</v>
      </c>
      <c r="M22" s="26">
        <f t="shared" si="4"/>
        <v>3</v>
      </c>
      <c r="N22" s="28" t="str">
        <f t="shared" si="5"/>
        <v>ดี</v>
      </c>
      <c r="O22" s="31">
        <f t="shared" si="6"/>
        <v>8</v>
      </c>
    </row>
    <row r="23" spans="1:15" ht="21.95" customHeight="1" x14ac:dyDescent="0.2">
      <c r="A23" s="18">
        <v>17</v>
      </c>
      <c r="B23" s="18" t="s">
        <v>159</v>
      </c>
      <c r="C23" s="18" t="s">
        <v>160</v>
      </c>
      <c r="D23" s="19" t="s">
        <v>161</v>
      </c>
      <c r="E23" s="20">
        <v>20</v>
      </c>
      <c r="F23" s="21">
        <v>89</v>
      </c>
      <c r="G23" s="22">
        <f t="shared" si="0"/>
        <v>44.5</v>
      </c>
      <c r="H23" s="18">
        <v>35</v>
      </c>
      <c r="I23" s="23">
        <f t="shared" si="1"/>
        <v>3.5</v>
      </c>
      <c r="J23" s="18">
        <v>31</v>
      </c>
      <c r="K23" s="24">
        <f t="shared" si="2"/>
        <v>12.4</v>
      </c>
      <c r="L23" s="25">
        <f t="shared" si="3"/>
        <v>80.400000000000006</v>
      </c>
      <c r="M23" s="26">
        <f t="shared" si="4"/>
        <v>4</v>
      </c>
      <c r="N23" s="18" t="str">
        <f t="shared" si="5"/>
        <v>ดีเยี่ยม</v>
      </c>
      <c r="O23" s="27">
        <f t="shared" si="6"/>
        <v>4</v>
      </c>
    </row>
    <row r="24" spans="1:15" ht="21.95" customHeight="1" x14ac:dyDescent="0.2">
      <c r="A24" s="28">
        <v>18</v>
      </c>
      <c r="B24" s="28" t="s">
        <v>162</v>
      </c>
      <c r="C24" s="28" t="s">
        <v>163</v>
      </c>
      <c r="D24" s="29" t="s">
        <v>164</v>
      </c>
      <c r="E24" s="20">
        <v>20</v>
      </c>
      <c r="F24" s="30">
        <v>84</v>
      </c>
      <c r="G24" s="22">
        <f t="shared" si="0"/>
        <v>42</v>
      </c>
      <c r="H24" s="28">
        <v>33</v>
      </c>
      <c r="I24" s="23">
        <f t="shared" si="1"/>
        <v>3.3</v>
      </c>
      <c r="J24" s="28">
        <v>26</v>
      </c>
      <c r="K24" s="24">
        <f t="shared" si="2"/>
        <v>10.4</v>
      </c>
      <c r="L24" s="25">
        <f t="shared" si="3"/>
        <v>75.7</v>
      </c>
      <c r="M24" s="26">
        <f t="shared" si="4"/>
        <v>3.5</v>
      </c>
      <c r="N24" s="28" t="str">
        <f t="shared" si="5"/>
        <v>ดีมาก</v>
      </c>
      <c r="O24" s="31">
        <f t="shared" si="6"/>
        <v>6</v>
      </c>
    </row>
    <row r="25" spans="1:15" ht="21.95" customHeight="1" x14ac:dyDescent="0.2">
      <c r="A25" s="42" t="s">
        <v>165</v>
      </c>
      <c r="B25" s="43"/>
      <c r="C25" s="43"/>
      <c r="D25" s="43"/>
      <c r="E25" s="33">
        <f t="shared" ref="E25:M25" si="7">IFERROR(ROUND(AVERAGE(E7:E24), 2), "-")</f>
        <v>18.329999999999998</v>
      </c>
      <c r="F25" s="33">
        <f t="shared" si="7"/>
        <v>69.94</v>
      </c>
      <c r="G25" s="33">
        <f t="shared" si="7"/>
        <v>34.97</v>
      </c>
      <c r="H25" s="33">
        <f t="shared" si="7"/>
        <v>32.4</v>
      </c>
      <c r="I25" s="33">
        <f t="shared" si="7"/>
        <v>2.7</v>
      </c>
      <c r="J25" s="33">
        <f t="shared" si="7"/>
        <v>26.41</v>
      </c>
      <c r="K25" s="33">
        <f t="shared" si="7"/>
        <v>9.39</v>
      </c>
      <c r="L25" s="33">
        <f t="shared" si="7"/>
        <v>65.39</v>
      </c>
      <c r="M25" s="33">
        <f t="shared" si="7"/>
        <v>2.4700000000000002</v>
      </c>
      <c r="N25" s="32"/>
      <c r="O25" s="32"/>
    </row>
    <row r="26" spans="1:15" ht="21.95" customHeight="1" x14ac:dyDescent="0.2">
      <c r="A26" s="42" t="s">
        <v>77</v>
      </c>
      <c r="B26" s="43"/>
      <c r="C26" s="43"/>
      <c r="D26" s="43"/>
      <c r="E26" s="33">
        <f t="shared" ref="E26:M26" si="8">IFERROR(MAX(E7:E24), "-")</f>
        <v>20</v>
      </c>
      <c r="F26" s="33">
        <f t="shared" si="8"/>
        <v>89</v>
      </c>
      <c r="G26" s="33">
        <f t="shared" si="8"/>
        <v>44.5</v>
      </c>
      <c r="H26" s="33">
        <f t="shared" si="8"/>
        <v>71</v>
      </c>
      <c r="I26" s="33">
        <f t="shared" si="8"/>
        <v>7.1</v>
      </c>
      <c r="J26" s="33">
        <f t="shared" si="8"/>
        <v>45</v>
      </c>
      <c r="K26" s="33">
        <f t="shared" si="8"/>
        <v>18</v>
      </c>
      <c r="L26" s="33">
        <f t="shared" si="8"/>
        <v>87.6</v>
      </c>
      <c r="M26" s="33">
        <f t="shared" si="8"/>
        <v>4</v>
      </c>
      <c r="N26" s="32"/>
      <c r="O26" s="32"/>
    </row>
    <row r="27" spans="1:15" ht="21.95" customHeight="1" x14ac:dyDescent="0.2">
      <c r="A27" s="42" t="s">
        <v>79</v>
      </c>
      <c r="B27" s="43"/>
      <c r="C27" s="43"/>
      <c r="D27" s="43"/>
      <c r="E27" s="33">
        <f t="shared" ref="E27:M27" si="9">IFERROR(MIN(E7:E24), "-")</f>
        <v>10</v>
      </c>
      <c r="F27" s="33">
        <f t="shared" si="9"/>
        <v>9</v>
      </c>
      <c r="G27" s="33">
        <f t="shared" si="9"/>
        <v>4.5</v>
      </c>
      <c r="H27" s="33">
        <f t="shared" si="9"/>
        <v>11</v>
      </c>
      <c r="I27" s="33">
        <f t="shared" si="9"/>
        <v>0</v>
      </c>
      <c r="J27" s="33">
        <f t="shared" si="9"/>
        <v>6</v>
      </c>
      <c r="K27" s="33">
        <f t="shared" si="9"/>
        <v>0</v>
      </c>
      <c r="L27" s="33">
        <f t="shared" si="9"/>
        <v>14.5</v>
      </c>
      <c r="M27" s="33">
        <f t="shared" si="9"/>
        <v>0</v>
      </c>
      <c r="N27" s="32"/>
      <c r="O27" s="32"/>
    </row>
    <row r="28" spans="1:15" ht="21.95" customHeight="1" x14ac:dyDescent="0.2">
      <c r="A28" s="45" t="s">
        <v>166</v>
      </c>
      <c r="B28" s="46"/>
      <c r="C28" s="46"/>
      <c r="D28" s="46"/>
      <c r="E28" s="35" t="str">
        <f ca="1">IFERROR(ROUND(_xludf.STDEV.P(E7:E24), 2), "-")</f>
        <v>-</v>
      </c>
      <c r="F28" s="35" t="str">
        <f ca="1">IFERROR(ROUND(_xludf.STDEV.P(F7:F24), 2), "-")</f>
        <v>-</v>
      </c>
      <c r="G28" s="35" t="str">
        <f ca="1">IFERROR(ROUND(_xludf.STDEV.P(G7:G24), 2), "-")</f>
        <v>-</v>
      </c>
      <c r="H28" s="35" t="str">
        <f ca="1">IFERROR(ROUND(_xludf.STDEV.P(H7:H24), 2), "-")</f>
        <v>-</v>
      </c>
      <c r="I28" s="35" t="str">
        <f ca="1">IFERROR(ROUND(_xludf.STDEV.P(I7:I24), 2), "-")</f>
        <v>-</v>
      </c>
      <c r="J28" s="35" t="str">
        <f ca="1">IFERROR(ROUND(_xludf.STDEV.P(J7:J24), 2), "-")</f>
        <v>-</v>
      </c>
      <c r="K28" s="35" t="str">
        <f ca="1">IFERROR(ROUND(_xludf.STDEV.P(K7:K24), 2), "-")</f>
        <v>-</v>
      </c>
      <c r="L28" s="35" t="str">
        <f ca="1">IFERROR(ROUND(_xludf.STDEV.P(L7:L24), 2), "-")</f>
        <v>-</v>
      </c>
      <c r="M28" s="35" t="str">
        <f ca="1">IFERROR(ROUND(_xludf.STDEV.P(M7:M24), 2), "-")</f>
        <v>-</v>
      </c>
      <c r="N28" s="34"/>
      <c r="O28" s="34"/>
    </row>
  </sheetData>
  <mergeCells count="12">
    <mergeCell ref="A1:O1"/>
    <mergeCell ref="L4:O4"/>
    <mergeCell ref="A25:D25"/>
    <mergeCell ref="H4:I4"/>
    <mergeCell ref="A28:D28"/>
    <mergeCell ref="F4:G4"/>
    <mergeCell ref="J4:K4"/>
    <mergeCell ref="A27:D27"/>
    <mergeCell ref="A2:O2"/>
    <mergeCell ref="E4"/>
    <mergeCell ref="A4:D4"/>
    <mergeCell ref="A26:D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6"/>
  <sheetViews>
    <sheetView workbookViewId="0"/>
  </sheetViews>
  <sheetFormatPr defaultRowHeight="14.25" x14ac:dyDescent="0.2"/>
  <cols>
    <col min="1" max="1" width="7" customWidth="1"/>
    <col min="2" max="2" width="15" customWidth="1"/>
    <col min="3" max="3" width="8" customWidth="1"/>
    <col min="4" max="4" width="26" customWidth="1"/>
    <col min="5" max="5" width="14" customWidth="1"/>
    <col min="6" max="6" width="12" customWidth="1"/>
    <col min="7" max="9" width="13" customWidth="1"/>
    <col min="10" max="10" width="12" customWidth="1"/>
    <col min="11" max="11" width="13" customWidth="1"/>
    <col min="12" max="12" width="15" customWidth="1"/>
    <col min="13" max="13" width="10" customWidth="1"/>
    <col min="14" max="14" width="14" customWidth="1"/>
    <col min="15" max="15" width="11" customWidth="1"/>
  </cols>
  <sheetData>
    <row r="1" spans="1:15" ht="24" x14ac:dyDescent="0.2">
      <c r="A1" s="40" t="s">
        <v>167</v>
      </c>
      <c r="B1" s="39"/>
      <c r="C1" s="39"/>
      <c r="D1" s="44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ht="16.5" x14ac:dyDescent="0.2">
      <c r="A2" s="38" t="s">
        <v>168</v>
      </c>
      <c r="B2" s="39"/>
      <c r="C2" s="39"/>
      <c r="D2" s="44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2">
      <c r="D3" s="15"/>
    </row>
    <row r="4" spans="1:15" ht="27.95" customHeight="1" x14ac:dyDescent="0.2">
      <c r="A4" s="41" t="s">
        <v>89</v>
      </c>
      <c r="B4" s="39"/>
      <c r="C4" s="39"/>
      <c r="D4" s="44"/>
      <c r="E4" s="41" t="s">
        <v>90</v>
      </c>
      <c r="F4" s="41" t="s">
        <v>91</v>
      </c>
      <c r="G4" s="39"/>
      <c r="H4" s="41" t="s">
        <v>92</v>
      </c>
      <c r="I4" s="39"/>
      <c r="J4" s="41" t="s">
        <v>93</v>
      </c>
      <c r="K4" s="39"/>
      <c r="L4" s="41" t="s">
        <v>94</v>
      </c>
      <c r="M4" s="39"/>
      <c r="N4" s="39"/>
      <c r="O4" s="39"/>
    </row>
    <row r="5" spans="1:15" ht="36" customHeight="1" x14ac:dyDescent="0.2">
      <c r="A5" s="16" t="s">
        <v>95</v>
      </c>
      <c r="B5" s="16" t="s">
        <v>96</v>
      </c>
      <c r="C5" s="16" t="s">
        <v>97</v>
      </c>
      <c r="D5" s="16" t="s">
        <v>98</v>
      </c>
      <c r="E5" s="16" t="s">
        <v>99</v>
      </c>
      <c r="F5" s="16" t="s">
        <v>100</v>
      </c>
      <c r="G5" s="16" t="s">
        <v>101</v>
      </c>
      <c r="H5" s="16" t="s">
        <v>102</v>
      </c>
      <c r="I5" s="16" t="s">
        <v>103</v>
      </c>
      <c r="J5" s="16" t="s">
        <v>104</v>
      </c>
      <c r="K5" s="16" t="s">
        <v>105</v>
      </c>
      <c r="L5" s="16" t="s">
        <v>106</v>
      </c>
      <c r="M5" s="16" t="s">
        <v>107</v>
      </c>
      <c r="N5" s="16" t="s">
        <v>108</v>
      </c>
      <c r="O5" s="16" t="s">
        <v>109</v>
      </c>
    </row>
    <row r="6" spans="1:15" ht="24" customHeight="1" x14ac:dyDescent="0.2">
      <c r="A6" s="6"/>
      <c r="B6" s="6"/>
      <c r="C6" s="6"/>
      <c r="D6" s="17" t="s">
        <v>110</v>
      </c>
      <c r="E6" s="6">
        <v>20</v>
      </c>
      <c r="F6" s="6">
        <v>100</v>
      </c>
      <c r="G6" s="6">
        <v>50</v>
      </c>
      <c r="H6" s="6">
        <v>50</v>
      </c>
      <c r="I6" s="6">
        <v>10</v>
      </c>
      <c r="J6" s="6">
        <v>50</v>
      </c>
      <c r="K6" s="6">
        <v>20</v>
      </c>
      <c r="L6" s="6">
        <v>100</v>
      </c>
      <c r="M6" s="6">
        <v>4</v>
      </c>
      <c r="N6" s="6" t="s">
        <v>64</v>
      </c>
      <c r="O6" s="6" t="s">
        <v>64</v>
      </c>
    </row>
    <row r="7" spans="1:15" ht="21.95" customHeight="1" x14ac:dyDescent="0.2">
      <c r="A7" s="18">
        <v>1</v>
      </c>
      <c r="B7" s="18" t="s">
        <v>169</v>
      </c>
      <c r="C7" s="18" t="s">
        <v>170</v>
      </c>
      <c r="D7" s="19" t="s">
        <v>171</v>
      </c>
      <c r="E7" s="20">
        <v>20</v>
      </c>
      <c r="F7" s="21">
        <v>78</v>
      </c>
      <c r="G7" s="22">
        <f t="shared" ref="G7:G22" si="0">IF(ISNUMBER(F7), ROUND(F7/$F$6*$G$6, 2), 0)</f>
        <v>39</v>
      </c>
      <c r="H7" s="18">
        <v>8</v>
      </c>
      <c r="I7" s="23">
        <f t="shared" ref="I7:I22" si="1">IF(ISNUMBER(H7), ROUND(H7/$H$6*$I$6, 2), 0)</f>
        <v>1.6</v>
      </c>
      <c r="J7" s="18">
        <v>16</v>
      </c>
      <c r="K7" s="24">
        <f t="shared" ref="K7:K22" si="2">IF(ISNUMBER(J7), ROUND(J7/$J$6*$K$6, 2), 0)</f>
        <v>6.4</v>
      </c>
      <c r="L7" s="25">
        <f t="shared" ref="L7:L22" si="3">ROUND(E7+G7+I7+K7, 2)</f>
        <v>67</v>
      </c>
      <c r="M7" s="26">
        <f t="shared" ref="M7:M22" si="4">IF(L7&gt;=80, 4, IF(L7&gt;=75, 3.5, IF(L7&gt;=70, 3, IF(L7&gt;=65, 2.5, IF(L7&gt;=60, 2, IF(L7&gt;=55, 1.5, IF(L7&gt;=50, 1, 0)))))))</f>
        <v>2.5</v>
      </c>
      <c r="N7" s="18" t="str">
        <f t="shared" ref="N7:N22" si="5">IF(M7&gt;=4, "ดีเยี่ยม", IF(M7&gt;=3.5, "ดีมาก", IF(M7&gt;=3, "ดี", IF(M7&gt;=2.5, "ค่อนข้างดี", IF(M7&gt;=2, "พอใช้", IF(M7&gt;=1.5, "อ่อน", IF(M7&gt;=1, "อ่อนมาก", "ไม่ผ่าน")))))))</f>
        <v>ค่อนข้างดี</v>
      </c>
      <c r="O7" s="27">
        <f t="shared" ref="O7:O22" si="6">RANK(L7, $L$7:$L$22)</f>
        <v>6</v>
      </c>
    </row>
    <row r="8" spans="1:15" ht="21.95" customHeight="1" x14ac:dyDescent="0.2">
      <c r="A8" s="28">
        <v>2</v>
      </c>
      <c r="B8" s="28" t="s">
        <v>172</v>
      </c>
      <c r="C8" s="28" t="s">
        <v>173</v>
      </c>
      <c r="D8" s="29" t="s">
        <v>174</v>
      </c>
      <c r="E8" s="20">
        <v>20</v>
      </c>
      <c r="F8" s="30">
        <v>38</v>
      </c>
      <c r="G8" s="22">
        <f t="shared" si="0"/>
        <v>19</v>
      </c>
      <c r="H8" s="28">
        <v>22</v>
      </c>
      <c r="I8" s="23">
        <f t="shared" si="1"/>
        <v>4.4000000000000004</v>
      </c>
      <c r="J8" s="28">
        <v>15</v>
      </c>
      <c r="K8" s="24">
        <f t="shared" si="2"/>
        <v>6</v>
      </c>
      <c r="L8" s="25">
        <f t="shared" si="3"/>
        <v>49.4</v>
      </c>
      <c r="M8" s="26">
        <f t="shared" si="4"/>
        <v>0</v>
      </c>
      <c r="N8" s="28" t="str">
        <f t="shared" si="5"/>
        <v>ไม่ผ่าน</v>
      </c>
      <c r="O8" s="31">
        <f t="shared" si="6"/>
        <v>12</v>
      </c>
    </row>
    <row r="9" spans="1:15" ht="21.95" customHeight="1" x14ac:dyDescent="0.2">
      <c r="A9" s="18">
        <v>3</v>
      </c>
      <c r="B9" s="18" t="s">
        <v>175</v>
      </c>
      <c r="C9" s="18" t="s">
        <v>176</v>
      </c>
      <c r="D9" s="19" t="s">
        <v>177</v>
      </c>
      <c r="E9" s="20">
        <v>20</v>
      </c>
      <c r="F9" s="21">
        <v>53</v>
      </c>
      <c r="G9" s="22">
        <f t="shared" si="0"/>
        <v>26.5</v>
      </c>
      <c r="H9" s="18">
        <v>24</v>
      </c>
      <c r="I9" s="23">
        <f t="shared" si="1"/>
        <v>4.8</v>
      </c>
      <c r="J9" s="18">
        <v>35</v>
      </c>
      <c r="K9" s="24">
        <f t="shared" si="2"/>
        <v>14</v>
      </c>
      <c r="L9" s="25">
        <f t="shared" si="3"/>
        <v>65.3</v>
      </c>
      <c r="M9" s="26">
        <f t="shared" si="4"/>
        <v>2.5</v>
      </c>
      <c r="N9" s="18" t="str">
        <f t="shared" si="5"/>
        <v>ค่อนข้างดี</v>
      </c>
      <c r="O9" s="27">
        <f t="shared" si="6"/>
        <v>7</v>
      </c>
    </row>
    <row r="10" spans="1:15" ht="21.95" customHeight="1" x14ac:dyDescent="0.2">
      <c r="A10" s="28">
        <v>4</v>
      </c>
      <c r="B10" s="28" t="s">
        <v>178</v>
      </c>
      <c r="C10" s="28" t="s">
        <v>179</v>
      </c>
      <c r="D10" s="29" t="s">
        <v>180</v>
      </c>
      <c r="E10" s="20">
        <v>20</v>
      </c>
      <c r="F10" s="30">
        <v>76</v>
      </c>
      <c r="G10" s="22">
        <f t="shared" si="0"/>
        <v>38</v>
      </c>
      <c r="H10" s="28">
        <v>31</v>
      </c>
      <c r="I10" s="23">
        <f t="shared" si="1"/>
        <v>6.2</v>
      </c>
      <c r="J10" s="28">
        <v>30</v>
      </c>
      <c r="K10" s="24">
        <f t="shared" si="2"/>
        <v>12</v>
      </c>
      <c r="L10" s="25">
        <f t="shared" si="3"/>
        <v>76.2</v>
      </c>
      <c r="M10" s="26">
        <f t="shared" si="4"/>
        <v>3.5</v>
      </c>
      <c r="N10" s="28" t="str">
        <f t="shared" si="5"/>
        <v>ดีมาก</v>
      </c>
      <c r="O10" s="31">
        <f t="shared" si="6"/>
        <v>2</v>
      </c>
    </row>
    <row r="11" spans="1:15" ht="21.95" customHeight="1" x14ac:dyDescent="0.2">
      <c r="A11" s="18">
        <v>5</v>
      </c>
      <c r="B11" s="18" t="s">
        <v>181</v>
      </c>
      <c r="C11" s="18" t="s">
        <v>182</v>
      </c>
      <c r="D11" s="19" t="s">
        <v>183</v>
      </c>
      <c r="E11" s="20">
        <v>20</v>
      </c>
      <c r="F11" s="21">
        <v>60</v>
      </c>
      <c r="G11" s="22">
        <f t="shared" si="0"/>
        <v>30</v>
      </c>
      <c r="H11" s="18">
        <v>17</v>
      </c>
      <c r="I11" s="23">
        <f t="shared" si="1"/>
        <v>3.4</v>
      </c>
      <c r="J11" s="18">
        <v>23</v>
      </c>
      <c r="K11" s="24">
        <f t="shared" si="2"/>
        <v>9.1999999999999993</v>
      </c>
      <c r="L11" s="25">
        <f t="shared" si="3"/>
        <v>62.6</v>
      </c>
      <c r="M11" s="26">
        <f t="shared" si="4"/>
        <v>2</v>
      </c>
      <c r="N11" s="18" t="str">
        <f t="shared" si="5"/>
        <v>พอใช้</v>
      </c>
      <c r="O11" s="27">
        <f t="shared" si="6"/>
        <v>9</v>
      </c>
    </row>
    <row r="12" spans="1:15" ht="21.95" customHeight="1" x14ac:dyDescent="0.2">
      <c r="A12" s="28">
        <v>6</v>
      </c>
      <c r="B12" s="28" t="s">
        <v>184</v>
      </c>
      <c r="C12" s="28" t="s">
        <v>185</v>
      </c>
      <c r="D12" s="29" t="s">
        <v>186</v>
      </c>
      <c r="E12" s="20">
        <v>10</v>
      </c>
      <c r="F12" s="30">
        <v>29</v>
      </c>
      <c r="G12" s="22">
        <f t="shared" si="0"/>
        <v>14.5</v>
      </c>
      <c r="H12" s="28" t="s">
        <v>64</v>
      </c>
      <c r="I12" s="23">
        <f t="shared" si="1"/>
        <v>0</v>
      </c>
      <c r="J12" s="28" t="s">
        <v>64</v>
      </c>
      <c r="K12" s="24">
        <f t="shared" si="2"/>
        <v>0</v>
      </c>
      <c r="L12" s="25">
        <f t="shared" si="3"/>
        <v>24.5</v>
      </c>
      <c r="M12" s="26">
        <f t="shared" si="4"/>
        <v>0</v>
      </c>
      <c r="N12" s="28" t="str">
        <f t="shared" si="5"/>
        <v>ไม่ผ่าน</v>
      </c>
      <c r="O12" s="31">
        <f t="shared" si="6"/>
        <v>16</v>
      </c>
    </row>
    <row r="13" spans="1:15" ht="21.95" customHeight="1" x14ac:dyDescent="0.2">
      <c r="A13" s="18">
        <v>7</v>
      </c>
      <c r="B13" s="18" t="s">
        <v>187</v>
      </c>
      <c r="C13" s="18" t="s">
        <v>188</v>
      </c>
      <c r="D13" s="19" t="s">
        <v>189</v>
      </c>
      <c r="E13" s="20">
        <v>20</v>
      </c>
      <c r="F13" s="21">
        <v>56</v>
      </c>
      <c r="G13" s="22">
        <f t="shared" si="0"/>
        <v>28</v>
      </c>
      <c r="H13" s="18">
        <v>24</v>
      </c>
      <c r="I13" s="23">
        <f t="shared" si="1"/>
        <v>4.8</v>
      </c>
      <c r="J13" s="18">
        <v>25</v>
      </c>
      <c r="K13" s="24">
        <f t="shared" si="2"/>
        <v>10</v>
      </c>
      <c r="L13" s="25">
        <f t="shared" si="3"/>
        <v>62.8</v>
      </c>
      <c r="M13" s="26">
        <f t="shared" si="4"/>
        <v>2</v>
      </c>
      <c r="N13" s="18" t="str">
        <f t="shared" si="5"/>
        <v>พอใช้</v>
      </c>
      <c r="O13" s="27">
        <f t="shared" si="6"/>
        <v>8</v>
      </c>
    </row>
    <row r="14" spans="1:15" ht="21.95" customHeight="1" x14ac:dyDescent="0.2">
      <c r="A14" s="28">
        <v>8</v>
      </c>
      <c r="B14" s="28" t="s">
        <v>190</v>
      </c>
      <c r="C14" s="28" t="s">
        <v>191</v>
      </c>
      <c r="D14" s="29" t="s">
        <v>192</v>
      </c>
      <c r="E14" s="20">
        <v>20</v>
      </c>
      <c r="F14" s="30">
        <v>15</v>
      </c>
      <c r="G14" s="22">
        <f t="shared" si="0"/>
        <v>7.5</v>
      </c>
      <c r="H14" s="28">
        <v>8</v>
      </c>
      <c r="I14" s="23">
        <f t="shared" si="1"/>
        <v>1.6</v>
      </c>
      <c r="J14" s="28">
        <v>8</v>
      </c>
      <c r="K14" s="24">
        <f t="shared" si="2"/>
        <v>3.2</v>
      </c>
      <c r="L14" s="25">
        <f t="shared" si="3"/>
        <v>32.299999999999997</v>
      </c>
      <c r="M14" s="26">
        <f t="shared" si="4"/>
        <v>0</v>
      </c>
      <c r="N14" s="28" t="str">
        <f t="shared" si="5"/>
        <v>ไม่ผ่าน</v>
      </c>
      <c r="O14" s="31">
        <f t="shared" si="6"/>
        <v>15</v>
      </c>
    </row>
    <row r="15" spans="1:15" ht="21.95" customHeight="1" x14ac:dyDescent="0.2">
      <c r="A15" s="18">
        <v>9</v>
      </c>
      <c r="B15" s="18" t="s">
        <v>193</v>
      </c>
      <c r="C15" s="18" t="s">
        <v>194</v>
      </c>
      <c r="D15" s="19" t="s">
        <v>195</v>
      </c>
      <c r="E15" s="20">
        <v>20</v>
      </c>
      <c r="F15" s="21">
        <v>72</v>
      </c>
      <c r="G15" s="22">
        <f t="shared" si="0"/>
        <v>36</v>
      </c>
      <c r="H15" s="18">
        <v>24</v>
      </c>
      <c r="I15" s="23">
        <f t="shared" si="1"/>
        <v>4.8</v>
      </c>
      <c r="J15" s="18">
        <v>37</v>
      </c>
      <c r="K15" s="24">
        <f t="shared" si="2"/>
        <v>14.8</v>
      </c>
      <c r="L15" s="25">
        <f t="shared" si="3"/>
        <v>75.599999999999994</v>
      </c>
      <c r="M15" s="26">
        <f t="shared" si="4"/>
        <v>3.5</v>
      </c>
      <c r="N15" s="18" t="str">
        <f t="shared" si="5"/>
        <v>ดีมาก</v>
      </c>
      <c r="O15" s="27">
        <f t="shared" si="6"/>
        <v>3</v>
      </c>
    </row>
    <row r="16" spans="1:15" ht="21.95" customHeight="1" x14ac:dyDescent="0.2">
      <c r="A16" s="28">
        <v>10</v>
      </c>
      <c r="B16" s="28" t="s">
        <v>196</v>
      </c>
      <c r="C16" s="28" t="s">
        <v>197</v>
      </c>
      <c r="D16" s="29" t="s">
        <v>198</v>
      </c>
      <c r="E16" s="20">
        <v>20</v>
      </c>
      <c r="F16" s="30">
        <v>87</v>
      </c>
      <c r="G16" s="22">
        <f t="shared" si="0"/>
        <v>43.5</v>
      </c>
      <c r="H16" s="28">
        <v>17</v>
      </c>
      <c r="I16" s="23">
        <f t="shared" si="1"/>
        <v>3.4</v>
      </c>
      <c r="J16" s="28">
        <v>31</v>
      </c>
      <c r="K16" s="24">
        <f t="shared" si="2"/>
        <v>12.4</v>
      </c>
      <c r="L16" s="25">
        <f t="shared" si="3"/>
        <v>79.3</v>
      </c>
      <c r="M16" s="26">
        <f t="shared" si="4"/>
        <v>3.5</v>
      </c>
      <c r="N16" s="28" t="str">
        <f t="shared" si="5"/>
        <v>ดีมาก</v>
      </c>
      <c r="O16" s="31">
        <f t="shared" si="6"/>
        <v>1</v>
      </c>
    </row>
    <row r="17" spans="1:15" ht="21.95" customHeight="1" x14ac:dyDescent="0.2">
      <c r="A17" s="18">
        <v>11</v>
      </c>
      <c r="B17" s="18" t="s">
        <v>199</v>
      </c>
      <c r="C17" s="18" t="s">
        <v>200</v>
      </c>
      <c r="D17" s="19" t="s">
        <v>201</v>
      </c>
      <c r="E17" s="20">
        <v>20</v>
      </c>
      <c r="F17" s="21">
        <v>66</v>
      </c>
      <c r="G17" s="22">
        <f t="shared" si="0"/>
        <v>33</v>
      </c>
      <c r="H17" s="18">
        <v>9</v>
      </c>
      <c r="I17" s="23">
        <f t="shared" si="1"/>
        <v>1.8</v>
      </c>
      <c r="J17" s="18">
        <v>12</v>
      </c>
      <c r="K17" s="24">
        <f t="shared" si="2"/>
        <v>4.8</v>
      </c>
      <c r="L17" s="25">
        <f t="shared" si="3"/>
        <v>59.6</v>
      </c>
      <c r="M17" s="26">
        <f t="shared" si="4"/>
        <v>1.5</v>
      </c>
      <c r="N17" s="18" t="str">
        <f t="shared" si="5"/>
        <v>อ่อน</v>
      </c>
      <c r="O17" s="27">
        <f t="shared" si="6"/>
        <v>11</v>
      </c>
    </row>
    <row r="18" spans="1:15" ht="21.95" customHeight="1" x14ac:dyDescent="0.2">
      <c r="A18" s="28">
        <v>12</v>
      </c>
      <c r="B18" s="28" t="s">
        <v>202</v>
      </c>
      <c r="C18" s="28" t="s">
        <v>203</v>
      </c>
      <c r="D18" s="29" t="s">
        <v>204</v>
      </c>
      <c r="E18" s="20">
        <v>10</v>
      </c>
      <c r="F18" s="30">
        <v>38</v>
      </c>
      <c r="G18" s="22">
        <f t="shared" si="0"/>
        <v>19</v>
      </c>
      <c r="H18" s="28" t="s">
        <v>64</v>
      </c>
      <c r="I18" s="23">
        <f t="shared" si="1"/>
        <v>0</v>
      </c>
      <c r="J18" s="28">
        <v>13</v>
      </c>
      <c r="K18" s="24">
        <f t="shared" si="2"/>
        <v>5.2</v>
      </c>
      <c r="L18" s="25">
        <f t="shared" si="3"/>
        <v>34.200000000000003</v>
      </c>
      <c r="M18" s="26">
        <f t="shared" si="4"/>
        <v>0</v>
      </c>
      <c r="N18" s="28" t="str">
        <f t="shared" si="5"/>
        <v>ไม่ผ่าน</v>
      </c>
      <c r="O18" s="31">
        <f t="shared" si="6"/>
        <v>14</v>
      </c>
    </row>
    <row r="19" spans="1:15" ht="21.95" customHeight="1" x14ac:dyDescent="0.2">
      <c r="A19" s="18">
        <v>13</v>
      </c>
      <c r="B19" s="18" t="s">
        <v>205</v>
      </c>
      <c r="C19" s="18" t="s">
        <v>206</v>
      </c>
      <c r="D19" s="19" t="s">
        <v>207</v>
      </c>
      <c r="E19" s="20">
        <v>20</v>
      </c>
      <c r="F19" s="21">
        <v>82</v>
      </c>
      <c r="G19" s="22">
        <f t="shared" si="0"/>
        <v>41</v>
      </c>
      <c r="H19" s="18">
        <v>18</v>
      </c>
      <c r="I19" s="23">
        <f t="shared" si="1"/>
        <v>3.6</v>
      </c>
      <c r="J19" s="18">
        <v>14</v>
      </c>
      <c r="K19" s="24">
        <f t="shared" si="2"/>
        <v>5.6</v>
      </c>
      <c r="L19" s="25">
        <f t="shared" si="3"/>
        <v>70.2</v>
      </c>
      <c r="M19" s="26">
        <f t="shared" si="4"/>
        <v>3</v>
      </c>
      <c r="N19" s="18" t="str">
        <f t="shared" si="5"/>
        <v>ดี</v>
      </c>
      <c r="O19" s="27">
        <f t="shared" si="6"/>
        <v>5</v>
      </c>
    </row>
    <row r="20" spans="1:15" ht="21.95" customHeight="1" x14ac:dyDescent="0.2">
      <c r="A20" s="28">
        <v>14</v>
      </c>
      <c r="B20" s="28" t="s">
        <v>208</v>
      </c>
      <c r="C20" s="28" t="s">
        <v>209</v>
      </c>
      <c r="D20" s="29" t="s">
        <v>210</v>
      </c>
      <c r="E20" s="20">
        <v>20</v>
      </c>
      <c r="F20" s="30">
        <v>37</v>
      </c>
      <c r="G20" s="22">
        <f t="shared" si="0"/>
        <v>18.5</v>
      </c>
      <c r="H20" s="28">
        <v>14</v>
      </c>
      <c r="I20" s="23">
        <f t="shared" si="1"/>
        <v>2.8</v>
      </c>
      <c r="J20" s="28">
        <v>11</v>
      </c>
      <c r="K20" s="24">
        <f t="shared" si="2"/>
        <v>4.4000000000000004</v>
      </c>
      <c r="L20" s="25">
        <f t="shared" si="3"/>
        <v>45.7</v>
      </c>
      <c r="M20" s="26">
        <f t="shared" si="4"/>
        <v>0</v>
      </c>
      <c r="N20" s="28" t="str">
        <f t="shared" si="5"/>
        <v>ไม่ผ่าน</v>
      </c>
      <c r="O20" s="31">
        <f t="shared" si="6"/>
        <v>13</v>
      </c>
    </row>
    <row r="21" spans="1:15" ht="21.95" customHeight="1" x14ac:dyDescent="0.2">
      <c r="A21" s="18">
        <v>15</v>
      </c>
      <c r="B21" s="18" t="s">
        <v>211</v>
      </c>
      <c r="C21" s="18" t="s">
        <v>212</v>
      </c>
      <c r="D21" s="19" t="s">
        <v>213</v>
      </c>
      <c r="E21" s="20">
        <v>20</v>
      </c>
      <c r="F21" s="21">
        <v>47</v>
      </c>
      <c r="G21" s="22">
        <f t="shared" si="0"/>
        <v>23.5</v>
      </c>
      <c r="H21" s="18">
        <v>25</v>
      </c>
      <c r="I21" s="23">
        <f t="shared" si="1"/>
        <v>5</v>
      </c>
      <c r="J21" s="18">
        <v>29</v>
      </c>
      <c r="K21" s="24">
        <f t="shared" si="2"/>
        <v>11.6</v>
      </c>
      <c r="L21" s="25">
        <f t="shared" si="3"/>
        <v>60.1</v>
      </c>
      <c r="M21" s="26">
        <f t="shared" si="4"/>
        <v>2</v>
      </c>
      <c r="N21" s="18" t="str">
        <f t="shared" si="5"/>
        <v>พอใช้</v>
      </c>
      <c r="O21" s="27">
        <f t="shared" si="6"/>
        <v>10</v>
      </c>
    </row>
    <row r="22" spans="1:15" ht="21.95" customHeight="1" x14ac:dyDescent="0.2">
      <c r="A22" s="28">
        <v>16</v>
      </c>
      <c r="B22" s="28" t="s">
        <v>214</v>
      </c>
      <c r="C22" s="28" t="s">
        <v>215</v>
      </c>
      <c r="D22" s="29" t="s">
        <v>216</v>
      </c>
      <c r="E22" s="20">
        <v>20</v>
      </c>
      <c r="F22" s="30">
        <v>78</v>
      </c>
      <c r="G22" s="22">
        <f t="shared" si="0"/>
        <v>39</v>
      </c>
      <c r="H22" s="28">
        <v>24</v>
      </c>
      <c r="I22" s="23">
        <f t="shared" si="1"/>
        <v>4.8</v>
      </c>
      <c r="J22" s="28">
        <v>27</v>
      </c>
      <c r="K22" s="24">
        <f t="shared" si="2"/>
        <v>10.8</v>
      </c>
      <c r="L22" s="25">
        <f t="shared" si="3"/>
        <v>74.599999999999994</v>
      </c>
      <c r="M22" s="26">
        <f t="shared" si="4"/>
        <v>3</v>
      </c>
      <c r="N22" s="28" t="str">
        <f t="shared" si="5"/>
        <v>ดี</v>
      </c>
      <c r="O22" s="31">
        <f t="shared" si="6"/>
        <v>4</v>
      </c>
    </row>
    <row r="23" spans="1:15" ht="21.95" customHeight="1" x14ac:dyDescent="0.2">
      <c r="A23" s="42" t="s">
        <v>165</v>
      </c>
      <c r="B23" s="43"/>
      <c r="C23" s="43"/>
      <c r="D23" s="43"/>
      <c r="E23" s="33">
        <f t="shared" ref="E23:M23" si="7">IFERROR(ROUND(AVERAGE(E7:E22), 2), "-")</f>
        <v>18.75</v>
      </c>
      <c r="F23" s="33">
        <f t="shared" si="7"/>
        <v>57</v>
      </c>
      <c r="G23" s="33">
        <f t="shared" si="7"/>
        <v>28.5</v>
      </c>
      <c r="H23" s="33">
        <f t="shared" si="7"/>
        <v>18.93</v>
      </c>
      <c r="I23" s="33">
        <f t="shared" si="7"/>
        <v>3.31</v>
      </c>
      <c r="J23" s="33">
        <f t="shared" si="7"/>
        <v>21.73</v>
      </c>
      <c r="K23" s="33">
        <f t="shared" si="7"/>
        <v>8.15</v>
      </c>
      <c r="L23" s="33">
        <f t="shared" si="7"/>
        <v>58.71</v>
      </c>
      <c r="M23" s="33">
        <f t="shared" si="7"/>
        <v>1.81</v>
      </c>
      <c r="N23" s="32"/>
      <c r="O23" s="32"/>
    </row>
    <row r="24" spans="1:15" ht="21.95" customHeight="1" x14ac:dyDescent="0.2">
      <c r="A24" s="42" t="s">
        <v>77</v>
      </c>
      <c r="B24" s="43"/>
      <c r="C24" s="43"/>
      <c r="D24" s="43"/>
      <c r="E24" s="33">
        <f t="shared" ref="E24:M24" si="8">IFERROR(MAX(E7:E22), "-")</f>
        <v>20</v>
      </c>
      <c r="F24" s="33">
        <f t="shared" si="8"/>
        <v>87</v>
      </c>
      <c r="G24" s="33">
        <f t="shared" si="8"/>
        <v>43.5</v>
      </c>
      <c r="H24" s="33">
        <f t="shared" si="8"/>
        <v>31</v>
      </c>
      <c r="I24" s="33">
        <f t="shared" si="8"/>
        <v>6.2</v>
      </c>
      <c r="J24" s="33">
        <f t="shared" si="8"/>
        <v>37</v>
      </c>
      <c r="K24" s="33">
        <f t="shared" si="8"/>
        <v>14.8</v>
      </c>
      <c r="L24" s="33">
        <f t="shared" si="8"/>
        <v>79.3</v>
      </c>
      <c r="M24" s="33">
        <f t="shared" si="8"/>
        <v>3.5</v>
      </c>
      <c r="N24" s="32"/>
      <c r="O24" s="32"/>
    </row>
    <row r="25" spans="1:15" ht="21.95" customHeight="1" x14ac:dyDescent="0.2">
      <c r="A25" s="42" t="s">
        <v>79</v>
      </c>
      <c r="B25" s="43"/>
      <c r="C25" s="43"/>
      <c r="D25" s="43"/>
      <c r="E25" s="33">
        <f t="shared" ref="E25:M25" si="9">IFERROR(MIN(E7:E22), "-")</f>
        <v>10</v>
      </c>
      <c r="F25" s="33">
        <f t="shared" si="9"/>
        <v>15</v>
      </c>
      <c r="G25" s="33">
        <f t="shared" si="9"/>
        <v>7.5</v>
      </c>
      <c r="H25" s="33">
        <f t="shared" si="9"/>
        <v>8</v>
      </c>
      <c r="I25" s="33">
        <f t="shared" si="9"/>
        <v>0</v>
      </c>
      <c r="J25" s="33">
        <f t="shared" si="9"/>
        <v>8</v>
      </c>
      <c r="K25" s="33">
        <f t="shared" si="9"/>
        <v>0</v>
      </c>
      <c r="L25" s="33">
        <f t="shared" si="9"/>
        <v>24.5</v>
      </c>
      <c r="M25" s="33">
        <f t="shared" si="9"/>
        <v>0</v>
      </c>
      <c r="N25" s="32"/>
      <c r="O25" s="32"/>
    </row>
    <row r="26" spans="1:15" ht="21.95" customHeight="1" x14ac:dyDescent="0.2">
      <c r="A26" s="45" t="s">
        <v>166</v>
      </c>
      <c r="B26" s="46"/>
      <c r="C26" s="46"/>
      <c r="D26" s="46"/>
      <c r="E26" s="35" t="str">
        <f ca="1">IFERROR(ROUND(_xludf.STDEV.P(E7:E22), 2), "-")</f>
        <v>-</v>
      </c>
      <c r="F26" s="35" t="str">
        <f ca="1">IFERROR(ROUND(_xludf.STDEV.P(F7:F22), 2), "-")</f>
        <v>-</v>
      </c>
      <c r="G26" s="35" t="str">
        <f ca="1">IFERROR(ROUND(_xludf.STDEV.P(G7:G22), 2), "-")</f>
        <v>-</v>
      </c>
      <c r="H26" s="35" t="str">
        <f ca="1">IFERROR(ROUND(_xludf.STDEV.P(H7:H22), 2), "-")</f>
        <v>-</v>
      </c>
      <c r="I26" s="35" t="str">
        <f ca="1">IFERROR(ROUND(_xludf.STDEV.P(I7:I22), 2), "-")</f>
        <v>-</v>
      </c>
      <c r="J26" s="35" t="str">
        <f ca="1">IFERROR(ROUND(_xludf.STDEV.P(J7:J22), 2), "-")</f>
        <v>-</v>
      </c>
      <c r="K26" s="35" t="str">
        <f ca="1">IFERROR(ROUND(_xludf.STDEV.P(K7:K22), 2), "-")</f>
        <v>-</v>
      </c>
      <c r="L26" s="35" t="str">
        <f ca="1">IFERROR(ROUND(_xludf.STDEV.P(L7:L22), 2), "-")</f>
        <v>-</v>
      </c>
      <c r="M26" s="35" t="str">
        <f ca="1">IFERROR(ROUND(_xludf.STDEV.P(M7:M22), 2), "-")</f>
        <v>-</v>
      </c>
      <c r="N26" s="34"/>
      <c r="O26" s="34"/>
    </row>
  </sheetData>
  <mergeCells count="12">
    <mergeCell ref="A26:D26"/>
    <mergeCell ref="A1:O1"/>
    <mergeCell ref="L4:O4"/>
    <mergeCell ref="A25:D25"/>
    <mergeCell ref="A24:D24"/>
    <mergeCell ref="H4:I4"/>
    <mergeCell ref="F4:G4"/>
    <mergeCell ref="A23:D23"/>
    <mergeCell ref="J4:K4"/>
    <mergeCell ref="A2:O2"/>
    <mergeCell ref="E4"/>
    <mergeCell ref="A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4"/>
  <sheetViews>
    <sheetView tabSelected="1" topLeftCell="A10" workbookViewId="0">
      <selection activeCell="H38" sqref="H38"/>
    </sheetView>
  </sheetViews>
  <sheetFormatPr defaultRowHeight="14.25" x14ac:dyDescent="0.2"/>
  <cols>
    <col min="1" max="1" width="8" customWidth="1"/>
    <col min="2" max="2" width="9" customWidth="1"/>
    <col min="3" max="3" width="7" customWidth="1"/>
    <col min="4" max="4" width="8" customWidth="1"/>
    <col min="5" max="5" width="26" customWidth="1"/>
    <col min="6" max="12" width="12" customWidth="1"/>
    <col min="13" max="13" width="14" customWidth="1"/>
    <col min="14" max="14" width="10" customWidth="1"/>
    <col min="15" max="15" width="14" customWidth="1"/>
    <col min="16" max="16" width="11" customWidth="1"/>
  </cols>
  <sheetData>
    <row r="1" spans="1:16" ht="24" x14ac:dyDescent="0.2">
      <c r="A1" s="40" t="s">
        <v>217</v>
      </c>
      <c r="B1" s="39"/>
      <c r="C1" s="39"/>
      <c r="D1" s="44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6.5" x14ac:dyDescent="0.2">
      <c r="A2" s="38" t="s">
        <v>1</v>
      </c>
      <c r="B2" s="39"/>
      <c r="C2" s="39"/>
      <c r="D2" s="44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1:16" x14ac:dyDescent="0.2">
      <c r="D3" s="15"/>
    </row>
    <row r="4" spans="1:16" ht="27.95" customHeight="1" x14ac:dyDescent="0.2">
      <c r="A4" s="41" t="s">
        <v>89</v>
      </c>
      <c r="B4" s="39"/>
      <c r="C4" s="39"/>
      <c r="D4" s="44"/>
      <c r="E4" s="39"/>
      <c r="F4" s="41" t="s">
        <v>90</v>
      </c>
      <c r="G4" s="41" t="s">
        <v>91</v>
      </c>
      <c r="H4" s="39"/>
      <c r="I4" s="41" t="s">
        <v>92</v>
      </c>
      <c r="J4" s="39"/>
      <c r="K4" s="41" t="s">
        <v>93</v>
      </c>
      <c r="L4" s="39"/>
      <c r="M4" s="41" t="s">
        <v>94</v>
      </c>
      <c r="N4" s="39"/>
      <c r="O4" s="39"/>
      <c r="P4" s="39"/>
    </row>
    <row r="5" spans="1:16" ht="36" customHeight="1" x14ac:dyDescent="0.2">
      <c r="A5" s="16" t="s">
        <v>218</v>
      </c>
      <c r="B5" s="16" t="s">
        <v>219</v>
      </c>
      <c r="C5" s="16" t="s">
        <v>95</v>
      </c>
      <c r="D5" s="16" t="s">
        <v>220</v>
      </c>
      <c r="E5" s="16" t="s">
        <v>98</v>
      </c>
      <c r="F5" s="16" t="s">
        <v>221</v>
      </c>
      <c r="G5" s="16" t="s">
        <v>222</v>
      </c>
      <c r="H5" s="16" t="s">
        <v>223</v>
      </c>
      <c r="I5" s="16" t="s">
        <v>224</v>
      </c>
      <c r="J5" s="16" t="s">
        <v>225</v>
      </c>
      <c r="K5" s="16" t="s">
        <v>226</v>
      </c>
      <c r="L5" s="16" t="s">
        <v>227</v>
      </c>
      <c r="M5" s="16" t="s">
        <v>228</v>
      </c>
      <c r="N5" s="16" t="s">
        <v>229</v>
      </c>
      <c r="O5" s="16" t="s">
        <v>230</v>
      </c>
      <c r="P5" s="16" t="s">
        <v>231</v>
      </c>
    </row>
    <row r="6" spans="1:16" ht="24" customHeight="1" x14ac:dyDescent="0.2">
      <c r="A6" s="6"/>
      <c r="B6" s="6"/>
      <c r="C6" s="6"/>
      <c r="D6" s="6"/>
      <c r="E6" s="17" t="s">
        <v>110</v>
      </c>
      <c r="F6" s="6">
        <v>20</v>
      </c>
      <c r="G6" s="6">
        <v>100</v>
      </c>
      <c r="H6" s="6">
        <v>50</v>
      </c>
      <c r="I6" s="6">
        <v>100</v>
      </c>
      <c r="J6" s="6">
        <v>10</v>
      </c>
      <c r="K6" s="6">
        <v>50</v>
      </c>
      <c r="L6" s="6">
        <v>20</v>
      </c>
      <c r="M6" s="6">
        <v>100</v>
      </c>
      <c r="N6" s="6">
        <v>4</v>
      </c>
      <c r="O6" s="6" t="s">
        <v>64</v>
      </c>
      <c r="P6" s="6" t="s">
        <v>64</v>
      </c>
    </row>
    <row r="7" spans="1:16" ht="21.95" customHeight="1" x14ac:dyDescent="0.2">
      <c r="A7" s="28">
        <v>1</v>
      </c>
      <c r="B7" s="28" t="s">
        <v>69</v>
      </c>
      <c r="C7" s="28">
        <f>'ตัดเกรด ห้อง 1'!A7</f>
        <v>1</v>
      </c>
      <c r="D7" s="28" t="str">
        <f>'ตัดเกรด ห้อง 1'!C7</f>
        <v>001</v>
      </c>
      <c r="E7" s="29" t="str">
        <f>'ตัดเกรด ห้อง 1'!D7</f>
        <v>นายกฤศมน บุญเปี่ยม</v>
      </c>
      <c r="F7" s="30">
        <f>'ตัดเกรด ห้อง 1'!E7</f>
        <v>20</v>
      </c>
      <c r="G7" s="30">
        <f>'ตัดเกรด ห้อง 1'!F7</f>
        <v>66</v>
      </c>
      <c r="H7" s="36">
        <f>'ตัดเกรด ห้อง 1'!G7</f>
        <v>33</v>
      </c>
      <c r="I7" s="28">
        <f>'ตัดเกรด ห้อง 1'!H7</f>
        <v>23</v>
      </c>
      <c r="J7" s="36">
        <f>'ตัดเกรด ห้อง 1'!I7</f>
        <v>2.2999999999999998</v>
      </c>
      <c r="K7" s="28">
        <f>'ตัดเกรด ห้อง 1'!J7</f>
        <v>24</v>
      </c>
      <c r="L7" s="36">
        <f>'ตัดเกรด ห้อง 1'!K7</f>
        <v>9.6</v>
      </c>
      <c r="M7" s="25">
        <f>'ตัดเกรด ห้อง 1'!L7</f>
        <v>64.900000000000006</v>
      </c>
      <c r="N7" s="26">
        <f>'ตัดเกรด ห้อง 1'!M7</f>
        <v>2</v>
      </c>
      <c r="O7" s="28" t="str">
        <f>'ตัดเกรด ห้อง 1'!N7</f>
        <v>พอใช้</v>
      </c>
      <c r="P7" s="31">
        <f t="shared" ref="P7:P40" si="0">RANK(M7, $M$7:$M$40)</f>
        <v>19</v>
      </c>
    </row>
    <row r="8" spans="1:16" ht="21.95" customHeight="1" x14ac:dyDescent="0.2">
      <c r="A8" s="18">
        <v>2</v>
      </c>
      <c r="B8" s="18" t="s">
        <v>69</v>
      </c>
      <c r="C8" s="18">
        <f>'ตัดเกรด ห้อง 1'!A8</f>
        <v>2</v>
      </c>
      <c r="D8" s="18" t="str">
        <f>'ตัดเกรด ห้อง 1'!C8</f>
        <v>002</v>
      </c>
      <c r="E8" s="19" t="str">
        <f>'ตัดเกรด ห้อง 1'!D8</f>
        <v>เด็กชายกษธณชล การรักเรียน</v>
      </c>
      <c r="F8" s="21">
        <f>'ตัดเกรด ห้อง 1'!E8</f>
        <v>20</v>
      </c>
      <c r="G8" s="21">
        <f>'ตัดเกรด ห้อง 1'!F8</f>
        <v>58</v>
      </c>
      <c r="H8" s="37">
        <f>'ตัดเกรด ห้อง 1'!G8</f>
        <v>29</v>
      </c>
      <c r="I8" s="18">
        <f>'ตัดเกรด ห้อง 1'!H8</f>
        <v>11</v>
      </c>
      <c r="J8" s="37">
        <f>'ตัดเกรด ห้อง 1'!I8</f>
        <v>1.1000000000000001</v>
      </c>
      <c r="K8" s="18">
        <f>'ตัดเกรด ห้อง 1'!J8</f>
        <v>18</v>
      </c>
      <c r="L8" s="37">
        <f>'ตัดเกรด ห้อง 1'!K8</f>
        <v>7.2</v>
      </c>
      <c r="M8" s="25">
        <f>'ตัดเกรด ห้อง 1'!L8</f>
        <v>57.3</v>
      </c>
      <c r="N8" s="26">
        <f>'ตัดเกรด ห้อง 1'!M8</f>
        <v>1.5</v>
      </c>
      <c r="O8" s="18" t="str">
        <f>'ตัดเกรด ห้อง 1'!N8</f>
        <v>อ่อน</v>
      </c>
      <c r="P8" s="27">
        <f t="shared" si="0"/>
        <v>25</v>
      </c>
    </row>
    <row r="9" spans="1:16" ht="21.95" customHeight="1" x14ac:dyDescent="0.2">
      <c r="A9" s="28">
        <v>3</v>
      </c>
      <c r="B9" s="28" t="s">
        <v>69</v>
      </c>
      <c r="C9" s="28">
        <f>'ตัดเกรด ห้อง 1'!A9</f>
        <v>3</v>
      </c>
      <c r="D9" s="28" t="str">
        <f>'ตัดเกรด ห้อง 1'!C9</f>
        <v>003</v>
      </c>
      <c r="E9" s="29" t="str">
        <f>'ตัดเกรด ห้อง 1'!D9</f>
        <v>นางสาวกัญญ์วรา ทองดี</v>
      </c>
      <c r="F9" s="30">
        <f>'ตัดเกรด ห้อง 1'!E9</f>
        <v>20</v>
      </c>
      <c r="G9" s="30">
        <f>'ตัดเกรด ห้อง 1'!F9</f>
        <v>87</v>
      </c>
      <c r="H9" s="36">
        <f>'ตัดเกรด ห้อง 1'!G9</f>
        <v>43.5</v>
      </c>
      <c r="I9" s="28">
        <f>'ตัดเกรด ห้อง 1'!H9</f>
        <v>56</v>
      </c>
      <c r="J9" s="36">
        <f>'ตัดเกรด ห้อง 1'!I9</f>
        <v>5.6</v>
      </c>
      <c r="K9" s="28">
        <f>'ตัดเกรด ห้อง 1'!J9</f>
        <v>44</v>
      </c>
      <c r="L9" s="36">
        <f>'ตัดเกรด ห้อง 1'!K9</f>
        <v>17.600000000000001</v>
      </c>
      <c r="M9" s="25">
        <f>'ตัดเกรด ห้อง 1'!L9</f>
        <v>86.7</v>
      </c>
      <c r="N9" s="26">
        <f>'ตัดเกรด ห้อง 1'!M9</f>
        <v>4</v>
      </c>
      <c r="O9" s="28" t="str">
        <f>'ตัดเกรด ห้อง 1'!N9</f>
        <v>ดีเยี่ยม</v>
      </c>
      <c r="P9" s="31">
        <f t="shared" si="0"/>
        <v>2</v>
      </c>
    </row>
    <row r="10" spans="1:16" ht="21.95" customHeight="1" x14ac:dyDescent="0.2">
      <c r="A10" s="18">
        <v>4</v>
      </c>
      <c r="B10" s="18" t="s">
        <v>69</v>
      </c>
      <c r="C10" s="18">
        <f>'ตัดเกรด ห้อง 1'!A10</f>
        <v>4</v>
      </c>
      <c r="D10" s="18" t="str">
        <f>'ตัดเกรด ห้อง 1'!C10</f>
        <v>004</v>
      </c>
      <c r="E10" s="19" t="str">
        <f>'ตัดเกรด ห้อง 1'!D10</f>
        <v>นายกันธรักษ์ พานทอง</v>
      </c>
      <c r="F10" s="21">
        <f>'ตัดเกรด ห้อง 1'!E10</f>
        <v>20</v>
      </c>
      <c r="G10" s="21">
        <f>'ตัดเกรด ห้อง 1'!F10</f>
        <v>87</v>
      </c>
      <c r="H10" s="37">
        <f>'ตัดเกรด ห้อง 1'!G10</f>
        <v>43.5</v>
      </c>
      <c r="I10" s="18">
        <f>'ตัดเกรด ห้อง 1'!H10</f>
        <v>20</v>
      </c>
      <c r="J10" s="37">
        <f>'ตัดเกรด ห้อง 1'!I10</f>
        <v>2</v>
      </c>
      <c r="K10" s="18">
        <f>'ตัดเกรด ห้อง 1'!J10</f>
        <v>23</v>
      </c>
      <c r="L10" s="37">
        <f>'ตัดเกรด ห้อง 1'!K10</f>
        <v>9.1999999999999993</v>
      </c>
      <c r="M10" s="25">
        <f>'ตัดเกรด ห้อง 1'!L10</f>
        <v>74.7</v>
      </c>
      <c r="N10" s="26">
        <f>'ตัดเกรด ห้อง 1'!M10</f>
        <v>3</v>
      </c>
      <c r="O10" s="18" t="str">
        <f>'ตัดเกรด ห้อง 1'!N10</f>
        <v>ดี</v>
      </c>
      <c r="P10" s="27">
        <f t="shared" si="0"/>
        <v>10</v>
      </c>
    </row>
    <row r="11" spans="1:16" ht="21.95" customHeight="1" x14ac:dyDescent="0.2">
      <c r="A11" s="28">
        <v>5</v>
      </c>
      <c r="B11" s="28" t="s">
        <v>69</v>
      </c>
      <c r="C11" s="28">
        <f>'ตัดเกรด ห้อง 1'!A11</f>
        <v>5</v>
      </c>
      <c r="D11" s="28" t="str">
        <f>'ตัดเกรด ห้อง 1'!C11</f>
        <v>005</v>
      </c>
      <c r="E11" s="29" t="str">
        <f>'ตัดเกรด ห้อง 1'!D11</f>
        <v>เด็กชายคุณานนต์ พิมพ์จันทร์</v>
      </c>
      <c r="F11" s="30">
        <f>'ตัดเกรด ห้อง 1'!E11</f>
        <v>10</v>
      </c>
      <c r="G11" s="30">
        <f>'ตัดเกรด ห้อง 1'!F11</f>
        <v>77</v>
      </c>
      <c r="H11" s="36">
        <f>'ตัดเกรด ห้อง 1'!G11</f>
        <v>38.5</v>
      </c>
      <c r="I11" s="28" t="str">
        <f>'ตัดเกรด ห้อง 1'!H11</f>
        <v>-</v>
      </c>
      <c r="J11" s="36">
        <f>'ตัดเกรด ห้อง 1'!I11</f>
        <v>0</v>
      </c>
      <c r="K11" s="28">
        <f>'ตัดเกรด ห้อง 1'!J11</f>
        <v>32</v>
      </c>
      <c r="L11" s="36">
        <f>'ตัดเกรด ห้อง 1'!K11</f>
        <v>12.8</v>
      </c>
      <c r="M11" s="25">
        <f>'ตัดเกรด ห้อง 1'!L11</f>
        <v>61.3</v>
      </c>
      <c r="N11" s="26">
        <f>'ตัดเกรด ห้อง 1'!M11</f>
        <v>2</v>
      </c>
      <c r="O11" s="28" t="str">
        <f>'ตัดเกรด ห้อง 1'!N11</f>
        <v>พอใช้</v>
      </c>
      <c r="P11" s="31">
        <f t="shared" si="0"/>
        <v>22</v>
      </c>
    </row>
    <row r="12" spans="1:16" ht="21.95" customHeight="1" x14ac:dyDescent="0.2">
      <c r="A12" s="18">
        <v>6</v>
      </c>
      <c r="B12" s="18" t="s">
        <v>69</v>
      </c>
      <c r="C12" s="18">
        <f>'ตัดเกรด ห้อง 1'!A12</f>
        <v>6</v>
      </c>
      <c r="D12" s="18" t="str">
        <f>'ตัดเกรด ห้อง 1'!C12</f>
        <v>006</v>
      </c>
      <c r="E12" s="19" t="str">
        <f>'ตัดเกรด ห้อง 1'!D12</f>
        <v>เด็กชายเฉลิมวงศ์ มะลิใย</v>
      </c>
      <c r="F12" s="21">
        <f>'ตัดเกรด ห้อง 1'!E12</f>
        <v>20</v>
      </c>
      <c r="G12" s="21">
        <f>'ตัดเกรด ห้อง 1'!F12</f>
        <v>68</v>
      </c>
      <c r="H12" s="37">
        <f>'ตัดเกรด ห้อง 1'!G12</f>
        <v>34</v>
      </c>
      <c r="I12" s="18">
        <f>'ตัดเกรด ห้อง 1'!H12</f>
        <v>23</v>
      </c>
      <c r="J12" s="37">
        <f>'ตัดเกรด ห้อง 1'!I12</f>
        <v>2.2999999999999998</v>
      </c>
      <c r="K12" s="18">
        <f>'ตัดเกรด ห้อง 1'!J12</f>
        <v>26</v>
      </c>
      <c r="L12" s="37">
        <f>'ตัดเกรด ห้อง 1'!K12</f>
        <v>10.4</v>
      </c>
      <c r="M12" s="25">
        <f>'ตัดเกรด ห้อง 1'!L12</f>
        <v>66.7</v>
      </c>
      <c r="N12" s="26">
        <f>'ตัดเกรด ห้อง 1'!M12</f>
        <v>2.5</v>
      </c>
      <c r="O12" s="18" t="str">
        <f>'ตัดเกรด ห้อง 1'!N12</f>
        <v>ค่อนข้างดี</v>
      </c>
      <c r="P12" s="27">
        <f t="shared" si="0"/>
        <v>17</v>
      </c>
    </row>
    <row r="13" spans="1:16" ht="21.95" customHeight="1" x14ac:dyDescent="0.2">
      <c r="A13" s="28">
        <v>7</v>
      </c>
      <c r="B13" s="28" t="s">
        <v>69</v>
      </c>
      <c r="C13" s="28">
        <f>'ตัดเกรด ห้อง 1'!A13</f>
        <v>7</v>
      </c>
      <c r="D13" s="28" t="str">
        <f>'ตัดเกรด ห้อง 1'!C13</f>
        <v>007</v>
      </c>
      <c r="E13" s="29" t="str">
        <f>'ตัดเกรด ห้อง 1'!D13</f>
        <v>นางสาวชลดา เรือนแก้ว</v>
      </c>
      <c r="F13" s="30">
        <f>'ตัดเกรด ห้อง 1'!E13</f>
        <v>20</v>
      </c>
      <c r="G13" s="30">
        <f>'ตัดเกรด ห้อง 1'!F13</f>
        <v>35</v>
      </c>
      <c r="H13" s="36">
        <f>'ตัดเกรด ห้อง 1'!G13</f>
        <v>17.5</v>
      </c>
      <c r="I13" s="28">
        <f>'ตัดเกรด ห้อง 1'!H13</f>
        <v>35</v>
      </c>
      <c r="J13" s="36">
        <f>'ตัดเกรด ห้อง 1'!I13</f>
        <v>3.5</v>
      </c>
      <c r="K13" s="28">
        <f>'ตัดเกรด ห้อง 1'!J13</f>
        <v>23.5</v>
      </c>
      <c r="L13" s="36">
        <f>'ตัดเกรด ห้อง 1'!K13</f>
        <v>9.4</v>
      </c>
      <c r="M13" s="25">
        <f>'ตัดเกรด ห้อง 1'!L13</f>
        <v>50.4</v>
      </c>
      <c r="N13" s="26">
        <f>'ตัดเกรด ห้อง 1'!M13</f>
        <v>1</v>
      </c>
      <c r="O13" s="28" t="str">
        <f>'ตัดเกรด ห้อง 1'!N13</f>
        <v>อ่อนมาก</v>
      </c>
      <c r="P13" s="31">
        <f t="shared" si="0"/>
        <v>27</v>
      </c>
    </row>
    <row r="14" spans="1:16" ht="21.95" customHeight="1" x14ac:dyDescent="0.2">
      <c r="A14" s="47">
        <v>8</v>
      </c>
      <c r="B14" s="47" t="s">
        <v>69</v>
      </c>
      <c r="C14" s="47">
        <f>'ตัดเกรด ห้อง 1'!A14</f>
        <v>8</v>
      </c>
      <c r="D14" s="47" t="str">
        <f>'ตัดเกรด ห้อง 1'!C14</f>
        <v>008</v>
      </c>
      <c r="E14" s="48" t="str">
        <f>'ตัดเกรด ห้อง 1'!D14</f>
        <v>นายณัฐกรณ์ กองทอง</v>
      </c>
      <c r="F14" s="49">
        <f>'ตัดเกรด ห้อง 1'!E14</f>
        <v>10</v>
      </c>
      <c r="G14" s="49">
        <f>'ตัดเกรด ห้อง 1'!F14</f>
        <v>43</v>
      </c>
      <c r="H14" s="50">
        <f>'ตัดเกรด ห้อง 1'!G14</f>
        <v>21.5</v>
      </c>
      <c r="I14" s="47" t="str">
        <f>'ตัดเกรด ห้อง 1'!H14</f>
        <v>-</v>
      </c>
      <c r="J14" s="50">
        <f>'ตัดเกรด ห้อง 1'!I14</f>
        <v>0</v>
      </c>
      <c r="K14" s="47" t="str">
        <f>'ตัดเกรด ห้อง 1'!J14</f>
        <v>-</v>
      </c>
      <c r="L14" s="50">
        <f>'ตัดเกรด ห้อง 1'!K14</f>
        <v>0</v>
      </c>
      <c r="M14" s="50">
        <f>'ตัดเกรด ห้อง 1'!L14</f>
        <v>31.5</v>
      </c>
      <c r="N14" s="49">
        <f>'ตัดเกรด ห้อง 1'!M14</f>
        <v>0</v>
      </c>
      <c r="O14" s="18" t="str">
        <f>'ตัดเกรด ห้อง 1'!N14</f>
        <v>ไม่ผ่าน</v>
      </c>
      <c r="P14" s="27">
        <f t="shared" si="0"/>
        <v>32</v>
      </c>
    </row>
    <row r="15" spans="1:16" ht="21.95" customHeight="1" x14ac:dyDescent="0.2">
      <c r="A15" s="28">
        <v>9</v>
      </c>
      <c r="B15" s="28" t="s">
        <v>69</v>
      </c>
      <c r="C15" s="28">
        <f>'ตัดเกรด ห้อง 1'!A15</f>
        <v>9</v>
      </c>
      <c r="D15" s="28" t="str">
        <f>'ตัดเกรด ห้อง 1'!C15</f>
        <v>009</v>
      </c>
      <c r="E15" s="29" t="str">
        <f>'ตัดเกรด ห้อง 1'!D15</f>
        <v>นายณัฐพล ทวีทรัพย์</v>
      </c>
      <c r="F15" s="30">
        <f>'ตัดเกรด ห้อง 1'!E15</f>
        <v>20</v>
      </c>
      <c r="G15" s="30">
        <f>'ตัดเกรด ห้อง 1'!F15</f>
        <v>76</v>
      </c>
      <c r="H15" s="36">
        <f>'ตัดเกรด ห้อง 1'!G15</f>
        <v>38</v>
      </c>
      <c r="I15" s="28">
        <f>'ตัดเกรด ห้อง 1'!H15</f>
        <v>28</v>
      </c>
      <c r="J15" s="36">
        <f>'ตัดเกรด ห้อง 1'!I15</f>
        <v>2.8</v>
      </c>
      <c r="K15" s="28">
        <f>'ตัดเกรด ห้อง 1'!J15</f>
        <v>21</v>
      </c>
      <c r="L15" s="36">
        <f>'ตัดเกรด ห้อง 1'!K15</f>
        <v>8.4</v>
      </c>
      <c r="M15" s="25">
        <f>'ตัดเกรด ห้อง 1'!L15</f>
        <v>69.2</v>
      </c>
      <c r="N15" s="26">
        <f>'ตัดเกรด ห้อง 1'!M15</f>
        <v>2.5</v>
      </c>
      <c r="O15" s="28" t="str">
        <f>'ตัดเกรด ห้อง 1'!N15</f>
        <v>ค่อนข้างดี</v>
      </c>
      <c r="P15" s="31">
        <f t="shared" si="0"/>
        <v>15</v>
      </c>
    </row>
    <row r="16" spans="1:16" ht="21.95" customHeight="1" x14ac:dyDescent="0.2">
      <c r="A16" s="18">
        <v>10</v>
      </c>
      <c r="B16" s="18" t="s">
        <v>69</v>
      </c>
      <c r="C16" s="18">
        <f>'ตัดเกรด ห้อง 1'!A16</f>
        <v>10</v>
      </c>
      <c r="D16" s="18" t="str">
        <f>'ตัดเกรด ห้อง 1'!C16</f>
        <v>010</v>
      </c>
      <c r="E16" s="19" t="str">
        <f>'ตัดเกรด ห้อง 1'!D16</f>
        <v>นายต้นตระการ เพชรภู่</v>
      </c>
      <c r="F16" s="21">
        <f>'ตัดเกรด ห้อง 1'!E16</f>
        <v>20</v>
      </c>
      <c r="G16" s="21">
        <f>'ตัดเกรด ห้อง 1'!F16</f>
        <v>55</v>
      </c>
      <c r="H16" s="37">
        <f>'ตัดเกรด ห้อง 1'!G16</f>
        <v>27.5</v>
      </c>
      <c r="I16" s="18">
        <f>'ตัดเกรด ห้อง 1'!H16</f>
        <v>13</v>
      </c>
      <c r="J16" s="37">
        <f>'ตัดเกรด ห้อง 1'!I16</f>
        <v>1.3</v>
      </c>
      <c r="K16" s="18">
        <f>'ตัดเกรด ห้อง 1'!J16</f>
        <v>6</v>
      </c>
      <c r="L16" s="37">
        <f>'ตัดเกรด ห้อง 1'!K16</f>
        <v>2.4</v>
      </c>
      <c r="M16" s="25">
        <f>'ตัดเกรด ห้อง 1'!L16</f>
        <v>51.2</v>
      </c>
      <c r="N16" s="26">
        <f>'ตัดเกรด ห้อง 1'!M16</f>
        <v>1</v>
      </c>
      <c r="O16" s="18" t="str">
        <f>'ตัดเกรด ห้อง 1'!N16</f>
        <v>อ่อนมาก</v>
      </c>
      <c r="P16" s="27">
        <f t="shared" si="0"/>
        <v>26</v>
      </c>
    </row>
    <row r="17" spans="1:16" ht="21.95" customHeight="1" x14ac:dyDescent="0.2">
      <c r="A17" s="28">
        <v>11</v>
      </c>
      <c r="B17" s="28" t="s">
        <v>69</v>
      </c>
      <c r="C17" s="28">
        <f>'ตัดเกรด ห้อง 1'!A17</f>
        <v>11</v>
      </c>
      <c r="D17" s="28" t="str">
        <f>'ตัดเกรด ห้อง 1'!C17</f>
        <v>011</v>
      </c>
      <c r="E17" s="29" t="str">
        <f>'ตัดเกรด ห้อง 1'!D17</f>
        <v>นายตฤณ ตาดทอง</v>
      </c>
      <c r="F17" s="30">
        <f>'ตัดเกรด ห้อง 1'!E17</f>
        <v>20</v>
      </c>
      <c r="G17" s="30">
        <f>'ตัดเกรด ห้อง 1'!F17</f>
        <v>88</v>
      </c>
      <c r="H17" s="36">
        <f>'ตัดเกรด ห้อง 1'!G17</f>
        <v>44</v>
      </c>
      <c r="I17" s="28">
        <f>'ตัดเกรด ห้อง 1'!H17</f>
        <v>30</v>
      </c>
      <c r="J17" s="36">
        <f>'ตัดเกรด ห้อง 1'!I17</f>
        <v>3</v>
      </c>
      <c r="K17" s="28">
        <f>'ตัดเกรด ห้อง 1'!J17</f>
        <v>30</v>
      </c>
      <c r="L17" s="36">
        <f>'ตัดเกรด ห้อง 1'!K17</f>
        <v>12</v>
      </c>
      <c r="M17" s="25">
        <f>'ตัดเกรด ห้อง 1'!L17</f>
        <v>79</v>
      </c>
      <c r="N17" s="26">
        <f>'ตัดเกรด ห้อง 1'!M17</f>
        <v>3.5</v>
      </c>
      <c r="O17" s="28" t="str">
        <f>'ตัดเกรด ห้อง 1'!N17</f>
        <v>ดีมาก</v>
      </c>
      <c r="P17" s="31">
        <f t="shared" si="0"/>
        <v>6</v>
      </c>
    </row>
    <row r="18" spans="1:16" ht="21.95" customHeight="1" x14ac:dyDescent="0.2">
      <c r="A18" s="18">
        <v>12</v>
      </c>
      <c r="B18" s="18" t="s">
        <v>69</v>
      </c>
      <c r="C18" s="18">
        <f>'ตัดเกรด ห้อง 1'!A18</f>
        <v>12</v>
      </c>
      <c r="D18" s="18" t="str">
        <f>'ตัดเกรด ห้อง 1'!C18</f>
        <v>012</v>
      </c>
      <c r="E18" s="19" t="str">
        <f>'ตัดเกรด ห้อง 1'!D18</f>
        <v>นายธนพัฒน์ บุญเรือง</v>
      </c>
      <c r="F18" s="21">
        <f>'ตัดเกรด ห้อง 1'!E18</f>
        <v>20</v>
      </c>
      <c r="G18" s="21">
        <f>'ตัดเกรด ห้อง 1'!F18</f>
        <v>87</v>
      </c>
      <c r="H18" s="37">
        <f>'ตัดเกรด ห้อง 1'!G18</f>
        <v>43.5</v>
      </c>
      <c r="I18" s="18">
        <f>'ตัดเกรด ห้อง 1'!H18</f>
        <v>50</v>
      </c>
      <c r="J18" s="37">
        <f>'ตัดเกรด ห้อง 1'!I18</f>
        <v>5</v>
      </c>
      <c r="K18" s="18">
        <f>'ตัดเกรด ห้อง 1'!J18</f>
        <v>34</v>
      </c>
      <c r="L18" s="37">
        <f>'ตัดเกรด ห้อง 1'!K18</f>
        <v>13.6</v>
      </c>
      <c r="M18" s="25">
        <f>'ตัดเกรด ห้อง 1'!L18</f>
        <v>82.1</v>
      </c>
      <c r="N18" s="26">
        <f>'ตัดเกรด ห้อง 1'!M18</f>
        <v>4</v>
      </c>
      <c r="O18" s="18" t="str">
        <f>'ตัดเกรด ห้อง 1'!N18</f>
        <v>ดีเยี่ยม</v>
      </c>
      <c r="P18" s="27">
        <f t="shared" si="0"/>
        <v>3</v>
      </c>
    </row>
    <row r="19" spans="1:16" ht="21.95" customHeight="1" x14ac:dyDescent="0.2">
      <c r="A19" s="28">
        <v>13</v>
      </c>
      <c r="B19" s="28" t="s">
        <v>69</v>
      </c>
      <c r="C19" s="28">
        <f>'ตัดเกรด ห้อง 1'!A19</f>
        <v>13</v>
      </c>
      <c r="D19" s="28" t="str">
        <f>'ตัดเกรด ห้อง 1'!C19</f>
        <v>013</v>
      </c>
      <c r="E19" s="29" t="str">
        <f>'ตัดเกรด ห้อง 1'!D19</f>
        <v>นายธีรภัทร วาสิทธิ์เทพ</v>
      </c>
      <c r="F19" s="30">
        <f>'ตัดเกรด ห้อง 1'!E19</f>
        <v>20</v>
      </c>
      <c r="G19" s="30">
        <f>'ตัดเกรด ห้อง 1'!F19</f>
        <v>78</v>
      </c>
      <c r="H19" s="36">
        <f>'ตัดเกรด ห้อง 1'!G19</f>
        <v>39</v>
      </c>
      <c r="I19" s="28">
        <f>'ตัดเกรด ห้อง 1'!H19</f>
        <v>24</v>
      </c>
      <c r="J19" s="36">
        <f>'ตัดเกรด ห้อง 1'!I19</f>
        <v>2.4</v>
      </c>
      <c r="K19" s="28">
        <f>'ตัดเกรด ห้อง 1'!J19</f>
        <v>22</v>
      </c>
      <c r="L19" s="36">
        <f>'ตัดเกรด ห้อง 1'!K19</f>
        <v>8.8000000000000007</v>
      </c>
      <c r="M19" s="25">
        <f>'ตัดเกรด ห้อง 1'!L19</f>
        <v>70.2</v>
      </c>
      <c r="N19" s="26">
        <f>'ตัดเกรด ห้อง 1'!M19</f>
        <v>3</v>
      </c>
      <c r="O19" s="28" t="str">
        <f>'ตัดเกรด ห้อง 1'!N19</f>
        <v>ดี</v>
      </c>
      <c r="P19" s="31">
        <f t="shared" si="0"/>
        <v>13</v>
      </c>
    </row>
    <row r="20" spans="1:16" ht="21.95" customHeight="1" x14ac:dyDescent="0.2">
      <c r="A20" s="47">
        <v>14</v>
      </c>
      <c r="B20" s="47" t="s">
        <v>69</v>
      </c>
      <c r="C20" s="47">
        <f>'ตัดเกรด ห้อง 1'!A20</f>
        <v>14</v>
      </c>
      <c r="D20" s="47" t="str">
        <f>'ตัดเกรด ห้อง 1'!C20</f>
        <v>014</v>
      </c>
      <c r="E20" s="48" t="str">
        <f>'ตัดเกรด ห้อง 1'!D20</f>
        <v>นายภูเบต ควันทอง</v>
      </c>
      <c r="F20" s="49">
        <f>'ตัดเกรด ห้อง 1'!E20</f>
        <v>10</v>
      </c>
      <c r="G20" s="49">
        <f>'ตัดเกรด ห้อง 1'!F20</f>
        <v>9</v>
      </c>
      <c r="H20" s="50">
        <f>'ตัดเกรด ห้อง 1'!G20</f>
        <v>4.5</v>
      </c>
      <c r="I20" s="47" t="str">
        <f>'ตัดเกรด ห้อง 1'!H20</f>
        <v>-</v>
      </c>
      <c r="J20" s="50">
        <f>'ตัดเกรด ห้อง 1'!I20</f>
        <v>0</v>
      </c>
      <c r="K20" s="47" t="str">
        <f>'ตัดเกรด ห้อง 1'!J20</f>
        <v>-</v>
      </c>
      <c r="L20" s="50">
        <f>'ตัดเกรด ห้อง 1'!K20</f>
        <v>0</v>
      </c>
      <c r="M20" s="50">
        <f>'ตัดเกรด ห้อง 1'!L20</f>
        <v>14.5</v>
      </c>
      <c r="N20" s="49">
        <f>'ตัดเกรด ห้อง 1'!M20</f>
        <v>0</v>
      </c>
      <c r="O20" s="18" t="str">
        <f>'ตัดเกรด ห้อง 1'!N20</f>
        <v>ไม่ผ่าน</v>
      </c>
      <c r="P20" s="27">
        <f t="shared" si="0"/>
        <v>34</v>
      </c>
    </row>
    <row r="21" spans="1:16" ht="21.95" customHeight="1" x14ac:dyDescent="0.2">
      <c r="A21" s="28">
        <v>15</v>
      </c>
      <c r="B21" s="28" t="s">
        <v>69</v>
      </c>
      <c r="C21" s="28">
        <f>'ตัดเกรด ห้อง 1'!A21</f>
        <v>15</v>
      </c>
      <c r="D21" s="28" t="str">
        <f>'ตัดเกรด ห้อง 1'!C21</f>
        <v>015</v>
      </c>
      <c r="E21" s="29" t="str">
        <f>'ตัดเกรด ห้อง 1'!D21</f>
        <v>นายภูวพิศิษฐ์ ใหลสกุล</v>
      </c>
      <c r="F21" s="30">
        <f>'ตัดเกรด ห้อง 1'!E21</f>
        <v>20</v>
      </c>
      <c r="G21" s="30">
        <f>'ตัดเกรด ห้อง 1'!F21</f>
        <v>85</v>
      </c>
      <c r="H21" s="36">
        <f>'ตัดเกรด ห้อง 1'!G21</f>
        <v>42.5</v>
      </c>
      <c r="I21" s="28">
        <f>'ตัดเกรด ห้อง 1'!H21</f>
        <v>71</v>
      </c>
      <c r="J21" s="36">
        <f>'ตัดเกรด ห้อง 1'!I21</f>
        <v>7.1</v>
      </c>
      <c r="K21" s="28">
        <f>'ตัดเกรด ห้อง 1'!J21</f>
        <v>45</v>
      </c>
      <c r="L21" s="36">
        <f>'ตัดเกรด ห้อง 1'!K21</f>
        <v>18</v>
      </c>
      <c r="M21" s="25">
        <f>'ตัดเกรด ห้อง 1'!L21</f>
        <v>87.6</v>
      </c>
      <c r="N21" s="26">
        <f>'ตัดเกรด ห้อง 1'!M21</f>
        <v>4</v>
      </c>
      <c r="O21" s="28" t="str">
        <f>'ตัดเกรด ห้อง 1'!N21</f>
        <v>ดีเยี่ยม</v>
      </c>
      <c r="P21" s="31">
        <f t="shared" si="0"/>
        <v>1</v>
      </c>
    </row>
    <row r="22" spans="1:16" ht="21.95" customHeight="1" x14ac:dyDescent="0.2">
      <c r="A22" s="18">
        <v>16</v>
      </c>
      <c r="B22" s="18" t="s">
        <v>69</v>
      </c>
      <c r="C22" s="18">
        <f>'ตัดเกรด ห้อง 1'!A22</f>
        <v>16</v>
      </c>
      <c r="D22" s="18" t="str">
        <f>'ตัดเกรด ห้อง 1'!C22</f>
        <v>016</v>
      </c>
      <c r="E22" s="19" t="str">
        <f>'ตัดเกรด ห้อง 1'!D22</f>
        <v>นางสาวมินตา บินอามัด</v>
      </c>
      <c r="F22" s="21">
        <f>'ตัดเกรด ห้อง 1'!E22</f>
        <v>20</v>
      </c>
      <c r="G22" s="21">
        <f>'ตัดเกรด ห้อง 1'!F22</f>
        <v>87</v>
      </c>
      <c r="H22" s="37">
        <f>'ตัดเกรด ห้อง 1'!G22</f>
        <v>43.5</v>
      </c>
      <c r="I22" s="18">
        <f>'ตัดเกรด ห้อง 1'!H22</f>
        <v>34</v>
      </c>
      <c r="J22" s="37">
        <f>'ตัดเกรด ห้อง 1'!I22</f>
        <v>3.4</v>
      </c>
      <c r="K22" s="18">
        <f>'ตัดเกรด ห้อง 1'!J22</f>
        <v>17</v>
      </c>
      <c r="L22" s="37">
        <f>'ตัดเกรด ห้อง 1'!K22</f>
        <v>6.8</v>
      </c>
      <c r="M22" s="25">
        <f>'ตัดเกรด ห้อง 1'!L22</f>
        <v>73.7</v>
      </c>
      <c r="N22" s="26">
        <f>'ตัดเกรด ห้อง 1'!M22</f>
        <v>3</v>
      </c>
      <c r="O22" s="18" t="str">
        <f>'ตัดเกรด ห้อง 1'!N22</f>
        <v>ดี</v>
      </c>
      <c r="P22" s="27">
        <f t="shared" si="0"/>
        <v>12</v>
      </c>
    </row>
    <row r="23" spans="1:16" ht="21.95" customHeight="1" x14ac:dyDescent="0.2">
      <c r="A23" s="28">
        <v>17</v>
      </c>
      <c r="B23" s="28" t="s">
        <v>69</v>
      </c>
      <c r="C23" s="28">
        <f>'ตัดเกรด ห้อง 1'!A23</f>
        <v>17</v>
      </c>
      <c r="D23" s="28" t="str">
        <f>'ตัดเกรด ห้อง 1'!C23</f>
        <v>017</v>
      </c>
      <c r="E23" s="29" t="str">
        <f>'ตัดเกรด ห้อง 1'!D23</f>
        <v>นายอัรฮัม ยูนุ</v>
      </c>
      <c r="F23" s="30">
        <f>'ตัดเกรด ห้อง 1'!E23</f>
        <v>20</v>
      </c>
      <c r="G23" s="30">
        <f>'ตัดเกรด ห้อง 1'!F23</f>
        <v>89</v>
      </c>
      <c r="H23" s="36">
        <f>'ตัดเกรด ห้อง 1'!G23</f>
        <v>44.5</v>
      </c>
      <c r="I23" s="28">
        <f>'ตัดเกรด ห้อง 1'!H23</f>
        <v>35</v>
      </c>
      <c r="J23" s="36">
        <f>'ตัดเกรด ห้อง 1'!I23</f>
        <v>3.5</v>
      </c>
      <c r="K23" s="28">
        <f>'ตัดเกรด ห้อง 1'!J23</f>
        <v>31</v>
      </c>
      <c r="L23" s="36">
        <f>'ตัดเกรด ห้อง 1'!K23</f>
        <v>12.4</v>
      </c>
      <c r="M23" s="25">
        <f>'ตัดเกรด ห้อง 1'!L23</f>
        <v>80.400000000000006</v>
      </c>
      <c r="N23" s="26">
        <f>'ตัดเกรด ห้อง 1'!M23</f>
        <v>4</v>
      </c>
      <c r="O23" s="28" t="str">
        <f>'ตัดเกรด ห้อง 1'!N23</f>
        <v>ดีเยี่ยม</v>
      </c>
      <c r="P23" s="31">
        <f t="shared" si="0"/>
        <v>4</v>
      </c>
    </row>
    <row r="24" spans="1:16" ht="21.95" customHeight="1" x14ac:dyDescent="0.2">
      <c r="A24" s="18">
        <v>18</v>
      </c>
      <c r="B24" s="18" t="s">
        <v>69</v>
      </c>
      <c r="C24" s="18">
        <f>'ตัดเกรด ห้อง 1'!A24</f>
        <v>18</v>
      </c>
      <c r="D24" s="18" t="str">
        <f>'ตัดเกรด ห้อง 1'!C24</f>
        <v>018</v>
      </c>
      <c r="E24" s="19" t="str">
        <f>'ตัดเกรด ห้อง 1'!D24</f>
        <v>นายอานนท์ณัฏฐ์ ไวพจน์</v>
      </c>
      <c r="F24" s="21">
        <f>'ตัดเกรด ห้อง 1'!E24</f>
        <v>20</v>
      </c>
      <c r="G24" s="21">
        <f>'ตัดเกรด ห้อง 1'!F24</f>
        <v>84</v>
      </c>
      <c r="H24" s="37">
        <f>'ตัดเกรด ห้อง 1'!G24</f>
        <v>42</v>
      </c>
      <c r="I24" s="18">
        <f>'ตัดเกรด ห้อง 1'!H24</f>
        <v>33</v>
      </c>
      <c r="J24" s="37">
        <f>'ตัดเกรด ห้อง 1'!I24</f>
        <v>3.3</v>
      </c>
      <c r="K24" s="18">
        <f>'ตัดเกรด ห้อง 1'!J24</f>
        <v>26</v>
      </c>
      <c r="L24" s="37">
        <f>'ตัดเกรด ห้อง 1'!K24</f>
        <v>10.4</v>
      </c>
      <c r="M24" s="25">
        <f>'ตัดเกรด ห้อง 1'!L24</f>
        <v>75.7</v>
      </c>
      <c r="N24" s="26">
        <f>'ตัดเกรด ห้อง 1'!M24</f>
        <v>3.5</v>
      </c>
      <c r="O24" s="18" t="str">
        <f>'ตัดเกรด ห้อง 1'!N24</f>
        <v>ดีมาก</v>
      </c>
      <c r="P24" s="27">
        <f t="shared" si="0"/>
        <v>8</v>
      </c>
    </row>
    <row r="25" spans="1:16" ht="21.95" customHeight="1" x14ac:dyDescent="0.2">
      <c r="A25" s="28">
        <v>19</v>
      </c>
      <c r="B25" s="28" t="s">
        <v>70</v>
      </c>
      <c r="C25" s="28">
        <f>'ตัดเกรด ห้อง 2'!A7</f>
        <v>1</v>
      </c>
      <c r="D25" s="28" t="str">
        <f>'ตัดเกรด ห้อง 2'!C7</f>
        <v>020</v>
      </c>
      <c r="E25" s="29" t="str">
        <f>'ตัดเกรด ห้อง 2'!D7</f>
        <v>นายชุติวัต สุขมั่น</v>
      </c>
      <c r="F25" s="30">
        <f>'ตัดเกรด ห้อง 2'!E7</f>
        <v>20</v>
      </c>
      <c r="G25" s="30">
        <f>'ตัดเกรด ห้อง 2'!F7</f>
        <v>78</v>
      </c>
      <c r="H25" s="36">
        <f>'ตัดเกรด ห้อง 2'!G7</f>
        <v>39</v>
      </c>
      <c r="I25" s="28">
        <f>'ตัดเกรด ห้อง 2'!H7</f>
        <v>8</v>
      </c>
      <c r="J25" s="36">
        <f>'ตัดเกรด ห้อง 2'!I7</f>
        <v>1.6</v>
      </c>
      <c r="K25" s="28">
        <f>'ตัดเกรด ห้อง 2'!J7</f>
        <v>16</v>
      </c>
      <c r="L25" s="36">
        <f>'ตัดเกรด ห้อง 2'!K7</f>
        <v>6.4</v>
      </c>
      <c r="M25" s="25">
        <f>'ตัดเกรด ห้อง 2'!L7</f>
        <v>67</v>
      </c>
      <c r="N25" s="26">
        <f>'ตัดเกรด ห้อง 2'!M7</f>
        <v>2.5</v>
      </c>
      <c r="O25" s="28" t="str">
        <f>'ตัดเกรด ห้อง 2'!N7</f>
        <v>ค่อนข้างดี</v>
      </c>
      <c r="P25" s="31">
        <f t="shared" si="0"/>
        <v>16</v>
      </c>
    </row>
    <row r="26" spans="1:16" ht="21.95" customHeight="1" x14ac:dyDescent="0.2">
      <c r="A26" s="47">
        <v>20</v>
      </c>
      <c r="B26" s="47" t="s">
        <v>70</v>
      </c>
      <c r="C26" s="47">
        <f>'ตัดเกรด ห้อง 2'!A8</f>
        <v>2</v>
      </c>
      <c r="D26" s="47" t="str">
        <f>'ตัดเกรด ห้อง 2'!C8</f>
        <v>021</v>
      </c>
      <c r="E26" s="48" t="str">
        <f>'ตัดเกรด ห้อง 2'!D8</f>
        <v>เด็กชายณัพร รัตนสุวรรณ</v>
      </c>
      <c r="F26" s="49">
        <f>'ตัดเกรด ห้อง 2'!E8</f>
        <v>20</v>
      </c>
      <c r="G26" s="49">
        <f>'ตัดเกรด ห้อง 2'!F8</f>
        <v>38</v>
      </c>
      <c r="H26" s="50">
        <f>'ตัดเกรด ห้อง 2'!G8</f>
        <v>19</v>
      </c>
      <c r="I26" s="47">
        <f>'ตัดเกรด ห้อง 2'!H8</f>
        <v>22</v>
      </c>
      <c r="J26" s="50">
        <f>'ตัดเกรด ห้อง 2'!I8</f>
        <v>4.4000000000000004</v>
      </c>
      <c r="K26" s="47">
        <f>'ตัดเกรด ห้อง 2'!J8</f>
        <v>15</v>
      </c>
      <c r="L26" s="50">
        <f>'ตัดเกรด ห้อง 2'!K8</f>
        <v>6</v>
      </c>
      <c r="M26" s="50">
        <f>'ตัดเกรด ห้อง 2'!L8</f>
        <v>49.4</v>
      </c>
      <c r="N26" s="49">
        <f>'ตัดเกรด ห้อง 2'!M8</f>
        <v>0</v>
      </c>
      <c r="O26" s="18" t="str">
        <f>'ตัดเกรด ห้อง 2'!N8</f>
        <v>ไม่ผ่าน</v>
      </c>
      <c r="P26" s="27">
        <f t="shared" si="0"/>
        <v>28</v>
      </c>
    </row>
    <row r="27" spans="1:16" ht="21.95" customHeight="1" x14ac:dyDescent="0.2">
      <c r="A27" s="28">
        <v>21</v>
      </c>
      <c r="B27" s="28" t="s">
        <v>70</v>
      </c>
      <c r="C27" s="28">
        <f>'ตัดเกรด ห้อง 2'!A9</f>
        <v>3</v>
      </c>
      <c r="D27" s="28" t="str">
        <f>'ตัดเกรด ห้อง 2'!C9</f>
        <v>022</v>
      </c>
      <c r="E27" s="29" t="str">
        <f>'ตัดเกรด ห้อง 2'!D9</f>
        <v>นายตุลยวัต ทาสีทอง</v>
      </c>
      <c r="F27" s="30">
        <f>'ตัดเกรด ห้อง 2'!E9</f>
        <v>20</v>
      </c>
      <c r="G27" s="30">
        <f>'ตัดเกรด ห้อง 2'!F9</f>
        <v>53</v>
      </c>
      <c r="H27" s="36">
        <f>'ตัดเกรด ห้อง 2'!G9</f>
        <v>26.5</v>
      </c>
      <c r="I27" s="28">
        <f>'ตัดเกรด ห้อง 2'!H9</f>
        <v>24</v>
      </c>
      <c r="J27" s="36">
        <f>'ตัดเกรด ห้อง 2'!I9</f>
        <v>4.8</v>
      </c>
      <c r="K27" s="28">
        <f>'ตัดเกรด ห้อง 2'!J9</f>
        <v>35</v>
      </c>
      <c r="L27" s="36">
        <f>'ตัดเกรด ห้อง 2'!K9</f>
        <v>14</v>
      </c>
      <c r="M27" s="25">
        <f>'ตัดเกรด ห้อง 2'!L9</f>
        <v>65.3</v>
      </c>
      <c r="N27" s="26">
        <f>'ตัดเกรด ห้อง 2'!M9</f>
        <v>2.5</v>
      </c>
      <c r="O27" s="28" t="str">
        <f>'ตัดเกรด ห้อง 2'!N9</f>
        <v>ค่อนข้างดี</v>
      </c>
      <c r="P27" s="31">
        <f t="shared" si="0"/>
        <v>18</v>
      </c>
    </row>
    <row r="28" spans="1:16" ht="21.95" customHeight="1" x14ac:dyDescent="0.2">
      <c r="A28" s="18">
        <v>22</v>
      </c>
      <c r="B28" s="18" t="s">
        <v>70</v>
      </c>
      <c r="C28" s="18">
        <f>'ตัดเกรด ห้อง 2'!A10</f>
        <v>4</v>
      </c>
      <c r="D28" s="18" t="str">
        <f>'ตัดเกรด ห้อง 2'!C10</f>
        <v>023</v>
      </c>
      <c r="E28" s="19" t="str">
        <f>'ตัดเกรด ห้อง 2'!D10</f>
        <v>เด็กชายธนกฤต แก้วตา</v>
      </c>
      <c r="F28" s="21">
        <f>'ตัดเกรด ห้อง 2'!E10</f>
        <v>20</v>
      </c>
      <c r="G28" s="21">
        <f>'ตัดเกรด ห้อง 2'!F10</f>
        <v>76</v>
      </c>
      <c r="H28" s="37">
        <f>'ตัดเกรด ห้อง 2'!G10</f>
        <v>38</v>
      </c>
      <c r="I28" s="18">
        <f>'ตัดเกรด ห้อง 2'!H10</f>
        <v>31</v>
      </c>
      <c r="J28" s="37">
        <f>'ตัดเกรด ห้อง 2'!I10</f>
        <v>6.2</v>
      </c>
      <c r="K28" s="18">
        <f>'ตัดเกรด ห้อง 2'!J10</f>
        <v>30</v>
      </c>
      <c r="L28" s="37">
        <f>'ตัดเกรด ห้อง 2'!K10</f>
        <v>12</v>
      </c>
      <c r="M28" s="25">
        <f>'ตัดเกรด ห้อง 2'!L10</f>
        <v>76.2</v>
      </c>
      <c r="N28" s="26">
        <f>'ตัดเกรด ห้อง 2'!M10</f>
        <v>3.5</v>
      </c>
      <c r="O28" s="18" t="str">
        <f>'ตัดเกรด ห้อง 2'!N10</f>
        <v>ดีมาก</v>
      </c>
      <c r="P28" s="27">
        <f t="shared" si="0"/>
        <v>7</v>
      </c>
    </row>
    <row r="29" spans="1:16" ht="21.95" customHeight="1" x14ac:dyDescent="0.2">
      <c r="A29" s="28">
        <v>23</v>
      </c>
      <c r="B29" s="28" t="s">
        <v>70</v>
      </c>
      <c r="C29" s="28">
        <f>'ตัดเกรด ห้อง 2'!A11</f>
        <v>5</v>
      </c>
      <c r="D29" s="28" t="str">
        <f>'ตัดเกรด ห้อง 2'!C11</f>
        <v>024</v>
      </c>
      <c r="E29" s="29" t="str">
        <f>'ตัดเกรด ห้อง 2'!D11</f>
        <v>นายธเนศพล กันเมือง</v>
      </c>
      <c r="F29" s="30">
        <f>'ตัดเกรด ห้อง 2'!E11</f>
        <v>20</v>
      </c>
      <c r="G29" s="30">
        <f>'ตัดเกรด ห้อง 2'!F11</f>
        <v>60</v>
      </c>
      <c r="H29" s="36">
        <f>'ตัดเกรด ห้อง 2'!G11</f>
        <v>30</v>
      </c>
      <c r="I29" s="28">
        <f>'ตัดเกรด ห้อง 2'!H11</f>
        <v>17</v>
      </c>
      <c r="J29" s="36">
        <f>'ตัดเกรด ห้อง 2'!I11</f>
        <v>3.4</v>
      </c>
      <c r="K29" s="28">
        <f>'ตัดเกรด ห้อง 2'!J11</f>
        <v>23</v>
      </c>
      <c r="L29" s="36">
        <f>'ตัดเกรด ห้อง 2'!K11</f>
        <v>9.1999999999999993</v>
      </c>
      <c r="M29" s="25">
        <f>'ตัดเกรด ห้อง 2'!L11</f>
        <v>62.6</v>
      </c>
      <c r="N29" s="26">
        <f>'ตัดเกรด ห้อง 2'!M11</f>
        <v>2</v>
      </c>
      <c r="O29" s="28" t="str">
        <f>'ตัดเกรด ห้อง 2'!N11</f>
        <v>พอใช้</v>
      </c>
      <c r="P29" s="31">
        <f t="shared" si="0"/>
        <v>21</v>
      </c>
    </row>
    <row r="30" spans="1:16" ht="21.95" customHeight="1" x14ac:dyDescent="0.2">
      <c r="A30" s="47">
        <v>24</v>
      </c>
      <c r="B30" s="47" t="s">
        <v>70</v>
      </c>
      <c r="C30" s="47">
        <f>'ตัดเกรด ห้อง 2'!A12</f>
        <v>6</v>
      </c>
      <c r="D30" s="47" t="str">
        <f>'ตัดเกรด ห้อง 2'!C12</f>
        <v>025</v>
      </c>
      <c r="E30" s="48" t="str">
        <f>'ตัดเกรด ห้อง 2'!D12</f>
        <v>นายนรากร จันทร์กล่ำ</v>
      </c>
      <c r="F30" s="49">
        <f>'ตัดเกรด ห้อง 2'!E12</f>
        <v>10</v>
      </c>
      <c r="G30" s="49">
        <f>'ตัดเกรด ห้อง 2'!F12</f>
        <v>29</v>
      </c>
      <c r="H30" s="50">
        <f>'ตัดเกรด ห้อง 2'!G12</f>
        <v>14.5</v>
      </c>
      <c r="I30" s="47" t="str">
        <f>'ตัดเกรด ห้อง 2'!H12</f>
        <v>-</v>
      </c>
      <c r="J30" s="50">
        <f>'ตัดเกรด ห้อง 2'!I12</f>
        <v>0</v>
      </c>
      <c r="K30" s="47" t="str">
        <f>'ตัดเกรด ห้อง 2'!J12</f>
        <v>-</v>
      </c>
      <c r="L30" s="50">
        <f>'ตัดเกรด ห้อง 2'!K12</f>
        <v>0</v>
      </c>
      <c r="M30" s="50">
        <f>'ตัดเกรด ห้อง 2'!L12</f>
        <v>24.5</v>
      </c>
      <c r="N30" s="49">
        <f>'ตัดเกรด ห้อง 2'!M12</f>
        <v>0</v>
      </c>
      <c r="O30" s="18" t="str">
        <f>'ตัดเกรด ห้อง 2'!N12</f>
        <v>ไม่ผ่าน</v>
      </c>
      <c r="P30" s="27">
        <f t="shared" si="0"/>
        <v>33</v>
      </c>
    </row>
    <row r="31" spans="1:16" ht="21.95" customHeight="1" x14ac:dyDescent="0.2">
      <c r="A31" s="28">
        <v>25</v>
      </c>
      <c r="B31" s="28" t="s">
        <v>70</v>
      </c>
      <c r="C31" s="28">
        <f>'ตัดเกรด ห้อง 2'!A13</f>
        <v>7</v>
      </c>
      <c r="D31" s="28" t="str">
        <f>'ตัดเกรด ห้อง 2'!C13</f>
        <v>026</v>
      </c>
      <c r="E31" s="29" t="str">
        <f>'ตัดเกรด ห้อง 2'!D13</f>
        <v>นายนราวิชญ์ ทองระคนธ์</v>
      </c>
      <c r="F31" s="30">
        <f>'ตัดเกรด ห้อง 2'!E13</f>
        <v>20</v>
      </c>
      <c r="G31" s="30">
        <f>'ตัดเกรด ห้อง 2'!F13</f>
        <v>56</v>
      </c>
      <c r="H31" s="36">
        <f>'ตัดเกรด ห้อง 2'!G13</f>
        <v>28</v>
      </c>
      <c r="I31" s="28">
        <f>'ตัดเกรด ห้อง 2'!H13</f>
        <v>24</v>
      </c>
      <c r="J31" s="36">
        <f>'ตัดเกรด ห้อง 2'!I13</f>
        <v>4.8</v>
      </c>
      <c r="K31" s="28">
        <f>'ตัดเกรด ห้อง 2'!J13</f>
        <v>25</v>
      </c>
      <c r="L31" s="36">
        <f>'ตัดเกรด ห้อง 2'!K13</f>
        <v>10</v>
      </c>
      <c r="M31" s="25">
        <f>'ตัดเกรด ห้อง 2'!L13</f>
        <v>62.8</v>
      </c>
      <c r="N31" s="26">
        <f>'ตัดเกรด ห้อง 2'!M13</f>
        <v>2</v>
      </c>
      <c r="O31" s="28" t="str">
        <f>'ตัดเกรด ห้อง 2'!N13</f>
        <v>พอใช้</v>
      </c>
      <c r="P31" s="31">
        <f t="shared" si="0"/>
        <v>20</v>
      </c>
    </row>
    <row r="32" spans="1:16" ht="21.95" customHeight="1" x14ac:dyDescent="0.2">
      <c r="A32" s="47">
        <v>26</v>
      </c>
      <c r="B32" s="47" t="s">
        <v>70</v>
      </c>
      <c r="C32" s="47">
        <f>'ตัดเกรด ห้อง 2'!A14</f>
        <v>8</v>
      </c>
      <c r="D32" s="47" t="str">
        <f>'ตัดเกรด ห้อง 2'!C14</f>
        <v>027</v>
      </c>
      <c r="E32" s="48" t="str">
        <f>'ตัดเกรด ห้อง 2'!D14</f>
        <v>นายนันทพงศ์ ช่ออุบล</v>
      </c>
      <c r="F32" s="49">
        <f>'ตัดเกรด ห้อง 2'!E14</f>
        <v>20</v>
      </c>
      <c r="G32" s="49">
        <f>'ตัดเกรด ห้อง 2'!F14</f>
        <v>15</v>
      </c>
      <c r="H32" s="50">
        <f>'ตัดเกรด ห้อง 2'!G14</f>
        <v>7.5</v>
      </c>
      <c r="I32" s="47">
        <f>'ตัดเกรด ห้อง 2'!H14</f>
        <v>8</v>
      </c>
      <c r="J32" s="50">
        <f>'ตัดเกรด ห้อง 2'!I14</f>
        <v>1.6</v>
      </c>
      <c r="K32" s="47">
        <f>'ตัดเกรด ห้อง 2'!J14</f>
        <v>8</v>
      </c>
      <c r="L32" s="50">
        <f>'ตัดเกรด ห้อง 2'!K14</f>
        <v>3.2</v>
      </c>
      <c r="M32" s="50">
        <f>'ตัดเกรด ห้อง 2'!L14</f>
        <v>32.299999999999997</v>
      </c>
      <c r="N32" s="49">
        <f>'ตัดเกรด ห้อง 2'!M14</f>
        <v>0</v>
      </c>
      <c r="O32" s="18" t="str">
        <f>'ตัดเกรด ห้อง 2'!N14</f>
        <v>ไม่ผ่าน</v>
      </c>
      <c r="P32" s="27">
        <f t="shared" si="0"/>
        <v>31</v>
      </c>
    </row>
    <row r="33" spans="1:16" ht="21.95" customHeight="1" x14ac:dyDescent="0.2">
      <c r="A33" s="28">
        <v>27</v>
      </c>
      <c r="B33" s="28" t="s">
        <v>70</v>
      </c>
      <c r="C33" s="28">
        <f>'ตัดเกรด ห้อง 2'!A15</f>
        <v>9</v>
      </c>
      <c r="D33" s="28" t="str">
        <f>'ตัดเกรด ห้อง 2'!C15</f>
        <v>028</v>
      </c>
      <c r="E33" s="29" t="str">
        <f>'ตัดเกรด ห้อง 2'!D15</f>
        <v>เด็กชายพงศ์พัทธ์ โสดา</v>
      </c>
      <c r="F33" s="30">
        <f>'ตัดเกรด ห้อง 2'!E15</f>
        <v>20</v>
      </c>
      <c r="G33" s="30">
        <f>'ตัดเกรด ห้อง 2'!F15</f>
        <v>72</v>
      </c>
      <c r="H33" s="36">
        <f>'ตัดเกรด ห้อง 2'!G15</f>
        <v>36</v>
      </c>
      <c r="I33" s="28">
        <f>'ตัดเกรด ห้อง 2'!H15</f>
        <v>24</v>
      </c>
      <c r="J33" s="36">
        <f>'ตัดเกรด ห้อง 2'!I15</f>
        <v>4.8</v>
      </c>
      <c r="K33" s="28">
        <f>'ตัดเกรด ห้อง 2'!J15</f>
        <v>37</v>
      </c>
      <c r="L33" s="36">
        <f>'ตัดเกรด ห้อง 2'!K15</f>
        <v>14.8</v>
      </c>
      <c r="M33" s="25">
        <f>'ตัดเกรด ห้อง 2'!L15</f>
        <v>75.599999999999994</v>
      </c>
      <c r="N33" s="26">
        <f>'ตัดเกรด ห้อง 2'!M15</f>
        <v>3.5</v>
      </c>
      <c r="O33" s="28" t="str">
        <f>'ตัดเกรด ห้อง 2'!N15</f>
        <v>ดีมาก</v>
      </c>
      <c r="P33" s="31">
        <f t="shared" si="0"/>
        <v>9</v>
      </c>
    </row>
    <row r="34" spans="1:16" ht="21.95" customHeight="1" x14ac:dyDescent="0.2">
      <c r="A34" s="18">
        <v>28</v>
      </c>
      <c r="B34" s="18" t="s">
        <v>70</v>
      </c>
      <c r="C34" s="18">
        <f>'ตัดเกรด ห้อง 2'!A16</f>
        <v>10</v>
      </c>
      <c r="D34" s="18" t="str">
        <f>'ตัดเกรด ห้อง 2'!C16</f>
        <v>029</v>
      </c>
      <c r="E34" s="19" t="str">
        <f>'ตัดเกรด ห้อง 2'!D16</f>
        <v>นายภูธเรศ อินทโชติ</v>
      </c>
      <c r="F34" s="21">
        <f>'ตัดเกรด ห้อง 2'!E16</f>
        <v>20</v>
      </c>
      <c r="G34" s="21">
        <f>'ตัดเกรด ห้อง 2'!F16</f>
        <v>87</v>
      </c>
      <c r="H34" s="37">
        <f>'ตัดเกรด ห้อง 2'!G16</f>
        <v>43.5</v>
      </c>
      <c r="I34" s="18">
        <f>'ตัดเกรด ห้อง 2'!H16</f>
        <v>17</v>
      </c>
      <c r="J34" s="37">
        <f>'ตัดเกรด ห้อง 2'!I16</f>
        <v>3.4</v>
      </c>
      <c r="K34" s="18">
        <f>'ตัดเกรด ห้อง 2'!J16</f>
        <v>31</v>
      </c>
      <c r="L34" s="37">
        <f>'ตัดเกรด ห้อง 2'!K16</f>
        <v>12.4</v>
      </c>
      <c r="M34" s="25">
        <f>'ตัดเกรด ห้อง 2'!L16</f>
        <v>79.3</v>
      </c>
      <c r="N34" s="26">
        <f>'ตัดเกรด ห้อง 2'!M16</f>
        <v>3.5</v>
      </c>
      <c r="O34" s="18" t="str">
        <f>'ตัดเกรด ห้อง 2'!N16</f>
        <v>ดีมาก</v>
      </c>
      <c r="P34" s="27">
        <f t="shared" si="0"/>
        <v>5</v>
      </c>
    </row>
    <row r="35" spans="1:16" ht="21.95" customHeight="1" x14ac:dyDescent="0.2">
      <c r="A35" s="28">
        <v>29</v>
      </c>
      <c r="B35" s="28" t="s">
        <v>70</v>
      </c>
      <c r="C35" s="28">
        <f>'ตัดเกรด ห้อง 2'!A17</f>
        <v>11</v>
      </c>
      <c r="D35" s="28" t="str">
        <f>'ตัดเกรด ห้อง 2'!C17</f>
        <v>030</v>
      </c>
      <c r="E35" s="29" t="str">
        <f>'ตัดเกรด ห้อง 2'!D17</f>
        <v>เด็กหญิงวราภรณ์ มั่นคง</v>
      </c>
      <c r="F35" s="30">
        <f>'ตัดเกรด ห้อง 2'!E17</f>
        <v>20</v>
      </c>
      <c r="G35" s="30">
        <f>'ตัดเกรด ห้อง 2'!F17</f>
        <v>66</v>
      </c>
      <c r="H35" s="36">
        <f>'ตัดเกรด ห้อง 2'!G17</f>
        <v>33</v>
      </c>
      <c r="I35" s="28">
        <f>'ตัดเกรด ห้อง 2'!H17</f>
        <v>9</v>
      </c>
      <c r="J35" s="36">
        <f>'ตัดเกรด ห้อง 2'!I17</f>
        <v>1.8</v>
      </c>
      <c r="K35" s="28">
        <f>'ตัดเกรด ห้อง 2'!J17</f>
        <v>12</v>
      </c>
      <c r="L35" s="36">
        <f>'ตัดเกรด ห้อง 2'!K17</f>
        <v>4.8</v>
      </c>
      <c r="M35" s="25">
        <f>'ตัดเกรด ห้อง 2'!L17</f>
        <v>59.6</v>
      </c>
      <c r="N35" s="26">
        <f>'ตัดเกรด ห้อง 2'!M17</f>
        <v>1.5</v>
      </c>
      <c r="O35" s="28" t="str">
        <f>'ตัดเกรด ห้อง 2'!N17</f>
        <v>อ่อน</v>
      </c>
      <c r="P35" s="31">
        <f t="shared" si="0"/>
        <v>24</v>
      </c>
    </row>
    <row r="36" spans="1:16" ht="21.95" customHeight="1" x14ac:dyDescent="0.2">
      <c r="A36" s="47">
        <v>30</v>
      </c>
      <c r="B36" s="47" t="s">
        <v>70</v>
      </c>
      <c r="C36" s="47">
        <f>'ตัดเกรด ห้อง 2'!A18</f>
        <v>12</v>
      </c>
      <c r="D36" s="47" t="str">
        <f>'ตัดเกรด ห้อง 2'!C18</f>
        <v>031</v>
      </c>
      <c r="E36" s="48" t="str">
        <f>'ตัดเกรด ห้อง 2'!D18</f>
        <v>นายวีรวัฒน์ วงษ์ทิพย์</v>
      </c>
      <c r="F36" s="49">
        <f>'ตัดเกรด ห้อง 2'!E18</f>
        <v>10</v>
      </c>
      <c r="G36" s="49">
        <f>'ตัดเกรด ห้อง 2'!F18</f>
        <v>38</v>
      </c>
      <c r="H36" s="50">
        <f>'ตัดเกรด ห้อง 2'!G18</f>
        <v>19</v>
      </c>
      <c r="I36" s="47" t="str">
        <f>'ตัดเกรด ห้อง 2'!H18</f>
        <v>-</v>
      </c>
      <c r="J36" s="50">
        <f>'ตัดเกรด ห้อง 2'!I18</f>
        <v>0</v>
      </c>
      <c r="K36" s="47">
        <f>'ตัดเกรด ห้อง 2'!J18</f>
        <v>13</v>
      </c>
      <c r="L36" s="50">
        <f>'ตัดเกรด ห้อง 2'!K18</f>
        <v>5.2</v>
      </c>
      <c r="M36" s="50">
        <f>'ตัดเกรด ห้อง 2'!L18</f>
        <v>34.200000000000003</v>
      </c>
      <c r="N36" s="49">
        <f>'ตัดเกรด ห้อง 2'!M18</f>
        <v>0</v>
      </c>
      <c r="O36" s="18" t="str">
        <f>'ตัดเกรด ห้อง 2'!N18</f>
        <v>ไม่ผ่าน</v>
      </c>
      <c r="P36" s="27">
        <f t="shared" si="0"/>
        <v>30</v>
      </c>
    </row>
    <row r="37" spans="1:16" ht="21.95" customHeight="1" x14ac:dyDescent="0.2">
      <c r="A37" s="28">
        <v>31</v>
      </c>
      <c r="B37" s="28" t="s">
        <v>70</v>
      </c>
      <c r="C37" s="28">
        <f>'ตัดเกรด ห้อง 2'!A19</f>
        <v>13</v>
      </c>
      <c r="D37" s="28" t="str">
        <f>'ตัดเกรด ห้อง 2'!C19</f>
        <v>032</v>
      </c>
      <c r="E37" s="29" t="str">
        <f>'ตัดเกรด ห้อง 2'!D19</f>
        <v>นายวุฒิกร พาณิชย์กุลเกียรติ</v>
      </c>
      <c r="F37" s="30">
        <f>'ตัดเกรด ห้อง 2'!E19</f>
        <v>20</v>
      </c>
      <c r="G37" s="30">
        <f>'ตัดเกรด ห้อง 2'!F19</f>
        <v>82</v>
      </c>
      <c r="H37" s="36">
        <f>'ตัดเกรด ห้อง 2'!G19</f>
        <v>41</v>
      </c>
      <c r="I37" s="28">
        <f>'ตัดเกรด ห้อง 2'!H19</f>
        <v>18</v>
      </c>
      <c r="J37" s="36">
        <f>'ตัดเกรด ห้อง 2'!I19</f>
        <v>3.6</v>
      </c>
      <c r="K37" s="28">
        <f>'ตัดเกรด ห้อง 2'!J19</f>
        <v>14</v>
      </c>
      <c r="L37" s="36">
        <f>'ตัดเกรด ห้อง 2'!K19</f>
        <v>5.6</v>
      </c>
      <c r="M37" s="25">
        <f>'ตัดเกรด ห้อง 2'!L19</f>
        <v>70.2</v>
      </c>
      <c r="N37" s="26">
        <f>'ตัดเกรด ห้อง 2'!M19</f>
        <v>3</v>
      </c>
      <c r="O37" s="28" t="str">
        <f>'ตัดเกรด ห้อง 2'!N19</f>
        <v>ดี</v>
      </c>
      <c r="P37" s="31">
        <f t="shared" si="0"/>
        <v>13</v>
      </c>
    </row>
    <row r="38" spans="1:16" ht="21.95" customHeight="1" x14ac:dyDescent="0.2">
      <c r="A38" s="47">
        <v>32</v>
      </c>
      <c r="B38" s="47" t="s">
        <v>70</v>
      </c>
      <c r="C38" s="47">
        <f>'ตัดเกรด ห้อง 2'!A20</f>
        <v>14</v>
      </c>
      <c r="D38" s="47" t="str">
        <f>'ตัดเกรด ห้อง 2'!C20</f>
        <v>033</v>
      </c>
      <c r="E38" s="48" t="str">
        <f>'ตัดเกรด ห้อง 2'!D20</f>
        <v>เด็กหญิงสโรชา มาเส็ง</v>
      </c>
      <c r="F38" s="49">
        <f>'ตัดเกรด ห้อง 2'!E20</f>
        <v>20</v>
      </c>
      <c r="G38" s="49">
        <f>'ตัดเกรด ห้อง 2'!F20</f>
        <v>37</v>
      </c>
      <c r="H38" s="50">
        <f>'ตัดเกรด ห้อง 2'!G20</f>
        <v>18.5</v>
      </c>
      <c r="I38" s="47">
        <f>'ตัดเกรด ห้อง 2'!H20</f>
        <v>14</v>
      </c>
      <c r="J38" s="50">
        <f>'ตัดเกรด ห้อง 2'!I20</f>
        <v>2.8</v>
      </c>
      <c r="K38" s="47">
        <f>'ตัดเกรด ห้อง 2'!J20</f>
        <v>11</v>
      </c>
      <c r="L38" s="50">
        <f>'ตัดเกรด ห้อง 2'!K20</f>
        <v>4.4000000000000004</v>
      </c>
      <c r="M38" s="50">
        <f>'ตัดเกรด ห้อง 2'!L20</f>
        <v>45.7</v>
      </c>
      <c r="N38" s="49">
        <f>'ตัดเกรด ห้อง 2'!M20</f>
        <v>0</v>
      </c>
      <c r="O38" s="18" t="str">
        <f>'ตัดเกรด ห้อง 2'!N20</f>
        <v>ไม่ผ่าน</v>
      </c>
      <c r="P38" s="27">
        <f t="shared" si="0"/>
        <v>29</v>
      </c>
    </row>
    <row r="39" spans="1:16" ht="21.95" customHeight="1" x14ac:dyDescent="0.2">
      <c r="A39" s="28">
        <v>33</v>
      </c>
      <c r="B39" s="28" t="s">
        <v>70</v>
      </c>
      <c r="C39" s="28">
        <f>'ตัดเกรด ห้อง 2'!A21</f>
        <v>15</v>
      </c>
      <c r="D39" s="28" t="str">
        <f>'ตัดเกรด ห้อง 2'!C21</f>
        <v>034</v>
      </c>
      <c r="E39" s="29" t="str">
        <f>'ตัดเกรด ห้อง 2'!D21</f>
        <v>นายอธิป ทองดอนเถื่อน</v>
      </c>
      <c r="F39" s="30">
        <f>'ตัดเกรด ห้อง 2'!E21</f>
        <v>20</v>
      </c>
      <c r="G39" s="30">
        <f>'ตัดเกรด ห้อง 2'!F21</f>
        <v>47</v>
      </c>
      <c r="H39" s="36">
        <f>'ตัดเกรด ห้อง 2'!G21</f>
        <v>23.5</v>
      </c>
      <c r="I39" s="28">
        <f>'ตัดเกรด ห้อง 2'!H21</f>
        <v>25</v>
      </c>
      <c r="J39" s="36">
        <f>'ตัดเกรด ห้อง 2'!I21</f>
        <v>5</v>
      </c>
      <c r="K39" s="28">
        <f>'ตัดเกรด ห้อง 2'!J21</f>
        <v>29</v>
      </c>
      <c r="L39" s="36">
        <f>'ตัดเกรด ห้อง 2'!K21</f>
        <v>11.6</v>
      </c>
      <c r="M39" s="25">
        <f>'ตัดเกรด ห้อง 2'!L21</f>
        <v>60.1</v>
      </c>
      <c r="N39" s="26">
        <f>'ตัดเกรด ห้อง 2'!M21</f>
        <v>2</v>
      </c>
      <c r="O39" s="28" t="str">
        <f>'ตัดเกรด ห้อง 2'!N21</f>
        <v>พอใช้</v>
      </c>
      <c r="P39" s="31">
        <f t="shared" si="0"/>
        <v>23</v>
      </c>
    </row>
    <row r="40" spans="1:16" ht="21.95" customHeight="1" x14ac:dyDescent="0.2">
      <c r="A40" s="18">
        <v>34</v>
      </c>
      <c r="B40" s="18" t="s">
        <v>70</v>
      </c>
      <c r="C40" s="18">
        <f>'ตัดเกรด ห้อง 2'!A22</f>
        <v>16</v>
      </c>
      <c r="D40" s="18" t="str">
        <f>'ตัดเกรด ห้อง 2'!C22</f>
        <v>035</v>
      </c>
      <c r="E40" s="19" t="str">
        <f>'ตัดเกรด ห้อง 2'!D22</f>
        <v>เด็กหญิงอารยา จันทน</v>
      </c>
      <c r="F40" s="21">
        <f>'ตัดเกรด ห้อง 2'!E22</f>
        <v>20</v>
      </c>
      <c r="G40" s="21">
        <f>'ตัดเกรด ห้อง 2'!F22</f>
        <v>78</v>
      </c>
      <c r="H40" s="37">
        <f>'ตัดเกรด ห้อง 2'!G22</f>
        <v>39</v>
      </c>
      <c r="I40" s="18">
        <f>'ตัดเกรด ห้อง 2'!H22</f>
        <v>24</v>
      </c>
      <c r="J40" s="37">
        <f>'ตัดเกรด ห้อง 2'!I22</f>
        <v>4.8</v>
      </c>
      <c r="K40" s="18">
        <f>'ตัดเกรด ห้อง 2'!J22</f>
        <v>27</v>
      </c>
      <c r="L40" s="37">
        <f>'ตัดเกรด ห้อง 2'!K22</f>
        <v>10.8</v>
      </c>
      <c r="M40" s="25">
        <f>'ตัดเกรด ห้อง 2'!L22</f>
        <v>74.599999999999994</v>
      </c>
      <c r="N40" s="26">
        <f>'ตัดเกรด ห้อง 2'!M22</f>
        <v>3</v>
      </c>
      <c r="O40" s="18" t="str">
        <f>'ตัดเกรด ห้อง 2'!N22</f>
        <v>ดี</v>
      </c>
      <c r="P40" s="27">
        <f t="shared" si="0"/>
        <v>11</v>
      </c>
    </row>
    <row r="41" spans="1:16" ht="21.95" customHeight="1" x14ac:dyDescent="0.2">
      <c r="A41" s="42" t="s">
        <v>165</v>
      </c>
      <c r="B41" s="43"/>
      <c r="C41" s="43"/>
      <c r="D41" s="43"/>
      <c r="E41" s="43"/>
      <c r="F41" s="33">
        <f t="shared" ref="F41:N41" si="1">IFERROR(ROUND(AVERAGE(F7:F40), 2), "-")</f>
        <v>18.53</v>
      </c>
      <c r="G41" s="33">
        <f t="shared" si="1"/>
        <v>63.85</v>
      </c>
      <c r="H41" s="33">
        <f t="shared" si="1"/>
        <v>31.93</v>
      </c>
      <c r="I41" s="33">
        <f t="shared" si="1"/>
        <v>25.9</v>
      </c>
      <c r="J41" s="33">
        <f t="shared" si="1"/>
        <v>2.99</v>
      </c>
      <c r="K41" s="33">
        <f t="shared" si="1"/>
        <v>24.15</v>
      </c>
      <c r="L41" s="33">
        <f t="shared" si="1"/>
        <v>8.81</v>
      </c>
      <c r="M41" s="33">
        <f t="shared" si="1"/>
        <v>62.25</v>
      </c>
      <c r="N41" s="33">
        <f t="shared" si="1"/>
        <v>2.16</v>
      </c>
      <c r="O41" s="32"/>
      <c r="P41" s="32"/>
    </row>
    <row r="42" spans="1:16" ht="21.95" customHeight="1" x14ac:dyDescent="0.2">
      <c r="A42" s="42" t="s">
        <v>77</v>
      </c>
      <c r="B42" s="43"/>
      <c r="C42" s="43"/>
      <c r="D42" s="43"/>
      <c r="E42" s="43"/>
      <c r="F42" s="33">
        <f t="shared" ref="F42:N42" si="2">IFERROR(MAX(F7:F40), "-")</f>
        <v>20</v>
      </c>
      <c r="G42" s="33">
        <f t="shared" si="2"/>
        <v>89</v>
      </c>
      <c r="H42" s="33">
        <f t="shared" si="2"/>
        <v>44.5</v>
      </c>
      <c r="I42" s="33">
        <f t="shared" si="2"/>
        <v>71</v>
      </c>
      <c r="J42" s="33">
        <f t="shared" si="2"/>
        <v>7.1</v>
      </c>
      <c r="K42" s="33">
        <f t="shared" si="2"/>
        <v>45</v>
      </c>
      <c r="L42" s="33">
        <f t="shared" si="2"/>
        <v>18</v>
      </c>
      <c r="M42" s="33">
        <f t="shared" si="2"/>
        <v>87.6</v>
      </c>
      <c r="N42" s="33">
        <f t="shared" si="2"/>
        <v>4</v>
      </c>
      <c r="O42" s="32"/>
      <c r="P42" s="32"/>
    </row>
    <row r="43" spans="1:16" ht="21.95" customHeight="1" x14ac:dyDescent="0.2">
      <c r="A43" s="42" t="s">
        <v>79</v>
      </c>
      <c r="B43" s="43"/>
      <c r="C43" s="43"/>
      <c r="D43" s="43"/>
      <c r="E43" s="43"/>
      <c r="F43" s="33">
        <f t="shared" ref="F43:N43" si="3">IFERROR(MIN(F7:F40), "-")</f>
        <v>10</v>
      </c>
      <c r="G43" s="33">
        <f t="shared" si="3"/>
        <v>9</v>
      </c>
      <c r="H43" s="33">
        <f t="shared" si="3"/>
        <v>4.5</v>
      </c>
      <c r="I43" s="33">
        <f t="shared" si="3"/>
        <v>8</v>
      </c>
      <c r="J43" s="33">
        <f t="shared" si="3"/>
        <v>0</v>
      </c>
      <c r="K43" s="33">
        <f t="shared" si="3"/>
        <v>6</v>
      </c>
      <c r="L43" s="33">
        <f t="shared" si="3"/>
        <v>0</v>
      </c>
      <c r="M43" s="33">
        <f t="shared" si="3"/>
        <v>14.5</v>
      </c>
      <c r="N43" s="33">
        <f t="shared" si="3"/>
        <v>0</v>
      </c>
      <c r="O43" s="32"/>
      <c r="P43" s="32"/>
    </row>
    <row r="44" spans="1:16" ht="21.95" customHeight="1" x14ac:dyDescent="0.2">
      <c r="A44" s="45" t="s">
        <v>166</v>
      </c>
      <c r="B44" s="46"/>
      <c r="C44" s="46"/>
      <c r="D44" s="46"/>
      <c r="E44" s="46"/>
      <c r="F44" s="35" t="str">
        <f ca="1">IFERROR(ROUND(_xludf.STDEV.P(F7:F40), 2), "-")</f>
        <v>-</v>
      </c>
      <c r="G44" s="35" t="str">
        <f ca="1">IFERROR(ROUND(_xludf.STDEV.P(G7:G40), 2), "-")</f>
        <v>-</v>
      </c>
      <c r="H44" s="35" t="str">
        <f ca="1">IFERROR(ROUND(_xludf.STDEV.P(H7:H40), 2), "-")</f>
        <v>-</v>
      </c>
      <c r="I44" s="35" t="str">
        <f ca="1">IFERROR(ROUND(_xludf.STDEV.P(I7:I40), 2), "-")</f>
        <v>-</v>
      </c>
      <c r="J44" s="35" t="str">
        <f ca="1">IFERROR(ROUND(_xludf.STDEV.P(J7:J40), 2), "-")</f>
        <v>-</v>
      </c>
      <c r="K44" s="35" t="str">
        <f ca="1">IFERROR(ROUND(_xludf.STDEV.P(K7:K40), 2), "-")</f>
        <v>-</v>
      </c>
      <c r="L44" s="35" t="str">
        <f ca="1">IFERROR(ROUND(_xludf.STDEV.P(L7:L40), 2), "-")</f>
        <v>-</v>
      </c>
      <c r="M44" s="35" t="str">
        <f ca="1">IFERROR(ROUND(_xludf.STDEV.P(M7:M40), 2), "-")</f>
        <v>-</v>
      </c>
      <c r="N44" s="35" t="str">
        <f ca="1">IFERROR(ROUND(_xludf.STDEV.P(N7:N40), 2), "-")</f>
        <v>-</v>
      </c>
      <c r="O44" s="34"/>
      <c r="P44" s="34"/>
    </row>
  </sheetData>
  <mergeCells count="12">
    <mergeCell ref="A1:P1"/>
    <mergeCell ref="A42:E42"/>
    <mergeCell ref="A41:E41"/>
    <mergeCell ref="A44:E44"/>
    <mergeCell ref="K4:L4"/>
    <mergeCell ref="A2:P2"/>
    <mergeCell ref="G4:H4"/>
    <mergeCell ref="A4:E4"/>
    <mergeCell ref="I4:J4"/>
    <mergeCell ref="M4:P4"/>
    <mergeCell ref="A43:E43"/>
    <mergeCell ref="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สรุปภาพรวมและสถิติเกรด</vt:lpstr>
      <vt:lpstr>ตัดเกรด ห้อง 1</vt:lpstr>
      <vt:lpstr>ตัดเกรด ห้อง 2</vt:lpstr>
      <vt:lpstr>ตัดเกรด รวม 2 ห้อง (34 คน)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PICHAYUT SOMBOON</cp:lastModifiedBy>
  <dcterms:created xsi:type="dcterms:W3CDTF">2026-09-14T18:58:26Z</dcterms:created>
  <dcterms:modified xsi:type="dcterms:W3CDTF">2026-09-14T19:08:33Z</dcterms:modified>
</cp:coreProperties>
</file>