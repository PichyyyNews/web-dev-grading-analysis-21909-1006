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<sst xmlns="http://schemas.openxmlformats.org/spreadsheetml/2006/main" count="96" uniqueCount="64">
  <si>
    <t>21909-1006 พื้นฐานการสร้างเว็บไซต์</t>
  </si>
  <si>
    <t/>
  </si>
  <si>
    <t>10 มิ.ย.</t>
  </si>
  <si>
    <t>21 มิ.ย.</t>
  </si>
  <si>
    <t>19 ก.ค.</t>
  </si>
  <si>
    <t xml:space="preserve">งานกลุ่ม </t>
  </si>
  <si>
    <t>แบบฝึกหัดที่ 1 เว็บไซต์แนะนำตัวเอง</t>
  </si>
  <si>
    <t>แบบฝึกหัดที่ 2 เว็บไซต์ใบงาน</t>
  </si>
  <si>
    <t>แบบฝึกหัดที่ 4 colspan + rowspan</t>
  </si>
  <si>
    <t>แบบฝึกหัดที่ 5 CSS boxmodel</t>
  </si>
  <si>
    <t>แบบฝึกหัดที่ 8 Grid layout</t>
  </si>
  <si>
    <t>โปรเจคเว็บจากดีไซน์ figma</t>
  </si>
  <si>
    <t>แบบฝึกหัดที่ 3 CSS 3 รูปแบบ</t>
  </si>
  <si>
    <t>การบ้านที่ 1 Form สมัครสมาชิก</t>
  </si>
  <si>
    <t>แบบฝึกหัดที่ 7 flex box layout</t>
  </si>
  <si>
    <t>คะแนนเฉลี่ยของชั้นเรียน</t>
  </si>
  <si>
    <t>สุขมั่น</t>
  </si>
  <si>
    <t>นายชุติวัต</t>
  </si>
  <si>
    <t>69219090020@lbtech.ac.th</t>
  </si>
  <si>
    <t>ทาสีทอง</t>
  </si>
  <si>
    <t>นายตุลยวัต</t>
  </si>
  <si>
    <t>69219090022@lbtech.ac.th</t>
  </si>
  <si>
    <t>กันเมือง</t>
  </si>
  <si>
    <t>นายธเนศพล</t>
  </si>
  <si>
    <t>69219090024@lbtech.ac.th</t>
  </si>
  <si>
    <t>จันทร์กล่ำ</t>
  </si>
  <si>
    <t>นายนรากร</t>
  </si>
  <si>
    <t>69219090025@lbtech.ac.th</t>
  </si>
  <si>
    <t>ทองระคนธ์</t>
  </si>
  <si>
    <t>นายนราวิชญ์</t>
  </si>
  <si>
    <t>69219090026@lbtech.ac.th</t>
  </si>
  <si>
    <t>ช่ออุบล</t>
  </si>
  <si>
    <t>นายนันทพงศ์</t>
  </si>
  <si>
    <t>69219090027@lbtech.ac.th</t>
  </si>
  <si>
    <t>อินทโชติ</t>
  </si>
  <si>
    <t>นายภูธเรศ</t>
  </si>
  <si>
    <t>69219090029@lbtech.ac.th</t>
  </si>
  <si>
    <t>วงษ์ทิพย์</t>
  </si>
  <si>
    <t>นายวีรวัฒน์</t>
  </si>
  <si>
    <t>69219090031@lbtech.ac.th</t>
  </si>
  <si>
    <t>พาณิชย์กุลเกียรติ</t>
  </si>
  <si>
    <t>นายวุฒิกร</t>
  </si>
  <si>
    <t>69219090032@lbtech.ac.th</t>
  </si>
  <si>
    <t>ทองดอนเถื่อน</t>
  </si>
  <si>
    <t>นายอธิป</t>
  </si>
  <si>
    <t>69219090034@lbtech.ac.th</t>
  </si>
  <si>
    <t>รัตนสุวรรณ</t>
  </si>
  <si>
    <t>เด็กชายณัพร</t>
  </si>
  <si>
    <t>69219090021@lbtech.ac.th</t>
  </si>
  <si>
    <t>แก้วตา</t>
  </si>
  <si>
    <t>เด็กชายธนกฤต</t>
  </si>
  <si>
    <t>69219090023@lbtech.ac.th</t>
  </si>
  <si>
    <t>โสดา</t>
  </si>
  <si>
    <t>เด็กชายพงศ์พัทธ์</t>
  </si>
  <si>
    <t>69219090028@lbtech.ac.th</t>
  </si>
  <si>
    <t>มั่นคง</t>
  </si>
  <si>
    <t>เด็กหญิงวราภรณ์</t>
  </si>
  <si>
    <t>69219090030@lbtech.ac.th</t>
  </si>
  <si>
    <t>มาเส็ง</t>
  </si>
  <si>
    <t>เด็กหญิงสโรชา</t>
  </si>
  <si>
    <t>69219090033@lbtech.ac.th</t>
  </si>
  <si>
    <t>จันทน</t>
  </si>
  <si>
    <t>เด็กหญิงอารยา</t>
  </si>
  <si>
    <t>69219090035@lbtech.ac.th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</si>
</sst>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#%"/>
    <numFmt numFmtId="165" formatCode="0.0#"/>
  </numFmts>
  <fonts count="10">
    <font>
      <sz val="11.0"/>
      <color rgb="FF000000"/>
      <name val="Calibri"/>
      <scheme val="minor"/>
    </font>
    <font>
      <b/>
      <sz val="14.0"/>
      <color rgb="FFFFFFFF"/>
      <name val="Roboto"/>
    </font>
    <font>
      <sz val="10.0"/>
      <color rgb="FFFFFFFF"/>
      <name val="Roboto"/>
    </font>
    <font>
      <sz val="14.0"/>
      <color rgb="FFFFFFFF"/>
      <name val="Roboto"/>
    </font>
    <font>
      <b/>
      <sz val="10.0"/>
      <color rgb="FFFFFFFF"/>
      <name val="Roboto"/>
    </font>
    <font>
      <u/>
      <sz val="10.0"/>
      <color rgb="FFFFFFFF"/>
      <name val="Arial"/>
    </font>
    <font>
      <sz val="10.0"/>
      <color rgb="FFFFFFFF"/>
      <name val="Arial"/>
    </font>
    <font>
      <b/>
      <sz val="10.0"/>
      <color theme="1"/>
      <name val="Roboto"/>
    </font>
    <font>
      <sz val="10.0"/>
      <color rgb="FF808080"/>
      <name val="Roboto"/>
    </font>
    <font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F6368"/>
        <bgColor rgb="FF5F6368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</fills>
  <borders count="3">
    <border/>
    <border>
      <left style="thin">
        <color rgb="FF5F6368"/>
      </left>
      <right style="thin">
        <color rgb="FF5F6368"/>
      </right>
      <top style="thin">
        <color rgb="FF5F6368"/>
      </top>
      <bottom style="thin">
        <color rgb="FF5F6368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ill="1" applyFont="1">
      <alignment horizontal="left" vertical="center"/>
    </xf>
    <xf borderId="1" fillId="2" fontId="3" numFmtId="0" xfId="0" applyAlignment="1" applyBorder="1" applyFill="1" applyFont="1">
      <alignment horizontal="left" vertical="center"/>
    </xf>
    <xf borderId="1" fillId="2" fontId="4" numFmtId="0" xfId="0" applyAlignment="1" applyBorder="1" applyFill="1" applyFont="1">
      <alignment horizontal="left" shrinkToFit="0" vertical="center" wrapText="1"/>
    </xf>
    <xf borderId="1" fillId="2" fontId="5" numFmtId="0" xfId="0" applyAlignment="1" applyBorder="1" applyFill="1" applyFont="1">
      <alignment horizontal="left" vertical="center"/>
    </xf>
    <xf borderId="1" fillId="2" fontId="6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2" fillId="4" fontId="7" numFmtId="0" xfId="0" applyAlignment="1" applyBorder="1" applyFill="1" applyFont="1">
      <alignment horizontal="left" vertical="center"/>
    </xf>
    <xf borderId="2" fillId="4" fontId="8" numFmtId="164" xfId="0" applyAlignment="1" applyBorder="1" applyFill="1" applyFont="1" applyNumberFormat="1">
      <alignment horizontal="left" vertical="center"/>
    </xf>
    <xf borderId="2" fillId="4" fontId="9" numFmtId="165" xfId="0" applyAlignment="1" applyBorder="1" applyFill="1" applyFont="1" applyNumberFormat="1">
      <alignment horizontal="left" vertical="center"/>
    </xf>
    <xf borderId="0" fillId="0" fontId="9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4.43" defaultRowHeight="15.0"/>
  <cols>
    <col customWidth="1" min="1" max="3" width="16.0"/>
    <col customWidth="1" min="4" max="4" width="8.0"/>
    <col customWidth="1" min="5" max="14" width="16.0"/>
    <col customWidth="1" min="15" max="26" width="8.71"/>
  </cols>
  <sheetData>
    <row r="1" ht="24.0" customHeight="1">
      <c r="A1" s="1" t="s">
        <v>0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2</v>
      </c>
      <c r="M1" s="2" t="s">
        <v>3</v>
      </c>
      <c r="N1" s="2" t="s">
        <v>4</v>
      </c>
    </row>
    <row r="2" ht="24.0" customHeight="1">
      <c r="A2" s="3" t="s">
        <v>1</v>
      </c>
      <c r="B2" s="3" t="s">
        <v>1</v>
      </c>
      <c r="C2" s="3" t="s">
        <v>1</v>
      </c>
      <c r="D2" s="3" t="s">
        <v>1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</row>
    <row r="3" ht="24.0" customHeight="1">
      <c r="A3" s="5" t="str">
        <f>hyperlink("https://classroom.google.com/c/ODU0MTcyMDYyNzI4", upper("เปิด Classroom"))</f>
        <v>เปิด CLASSROOM</v>
      </c>
      <c r="B3" s="6" t="s">
        <v>1</v>
      </c>
      <c r="C3" s="6" t="s">
        <v>1</v>
      </c>
      <c r="D3" s="6" t="s">
        <v>1</v>
      </c>
      <c r="E3" s="2">
        <v>100.0</v>
      </c>
      <c r="F3" s="2">
        <v>10.0</v>
      </c>
      <c r="G3" s="2">
        <v>10.0</v>
      </c>
      <c r="H3" s="2">
        <v>10.0</v>
      </c>
      <c r="I3" s="2">
        <v>10.0</v>
      </c>
      <c r="J3" s="2">
        <v>10.0</v>
      </c>
      <c r="K3" s="2">
        <v>10.0</v>
      </c>
      <c r="L3" s="2">
        <v>10.0</v>
      </c>
      <c r="M3" s="2">
        <v>10.0</v>
      </c>
      <c r="N3" s="2">
        <v>10.0</v>
      </c>
    </row>
    <row r="4" ht="24.0" customHeight="1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</v>
      </c>
    </row>
    <row r="5" ht="24.0" customHeight="1">
      <c r="A5" s="8" t="s">
        <v>15</v>
      </c>
      <c r="B5" s="8" t="s">
        <v>1</v>
      </c>
      <c r="C5" s="8" t="s">
        <v>1</v>
      </c>
      <c r="D5" s="9">
        <f>iferror(sumifs(E5:N5,E5:N5,"&lt;&gt;",E4:N4,"")/sumifs(E3:N3,E5:N5,"&lt;&gt;",E4:N4,""),"")</f>
        <v>0.9307407407</v>
      </c>
      <c r="E5" s="10" t="str">
        <f t="shared" ref="E5:N5" si="1">iferror(average(E6:E22),"")</f>
        <v/>
      </c>
      <c r="F5" s="10">
        <f t="shared" si="1"/>
        <v>8</v>
      </c>
      <c r="G5" s="10">
        <f t="shared" si="1"/>
        <v>7.266666667</v>
      </c>
      <c r="H5" s="10">
        <f t="shared" si="1"/>
        <v>10</v>
      </c>
      <c r="I5" s="10">
        <f t="shared" si="1"/>
        <v>10</v>
      </c>
      <c r="J5" s="10">
        <f t="shared" si="1"/>
        <v>10</v>
      </c>
      <c r="K5" s="10">
        <f t="shared" si="1"/>
        <v>10</v>
      </c>
      <c r="L5" s="10">
        <f t="shared" si="1"/>
        <v>10</v>
      </c>
      <c r="M5" s="10">
        <f t="shared" si="1"/>
        <v>10</v>
      </c>
      <c r="N5" s="10">
        <f t="shared" si="1"/>
        <v>8.5</v>
      </c>
    </row>
    <row r="6" ht="24.0" customHeight="1">
      <c r="A6" s="11"/>
      <c r="B6" s="11"/>
      <c r="C6" s="11"/>
      <c r="D6" s="12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ht="24.0" customHeight="1">
      <c r="A7" s="11" t="s">
        <v>16</v>
      </c>
      <c r="B7" s="11" t="s">
        <v>17</v>
      </c>
      <c r="C7" s="11" t="s">
        <v>18</v>
      </c>
      <c r="D7" s="12">
        <f>iferror(sumif(E7:N7,"&lt;&gt;")/sumif(E7:N7,"&lt;&gt;",E3:N3),"")</f>
        <v>0.975</v>
      </c>
      <c r="E7" s="11"/>
      <c r="F7" s="11">
        <v>9.0</v>
      </c>
      <c r="G7" s="11">
        <v>9.0</v>
      </c>
      <c r="H7" s="11">
        <v>10.0</v>
      </c>
      <c r="I7" s="11">
        <v>10.0</v>
      </c>
      <c r="J7" s="11">
        <v>10.0</v>
      </c>
      <c r="K7" s="11"/>
      <c r="L7" s="11">
        <v>10.0</v>
      </c>
      <c r="M7" s="11">
        <v>10.0</v>
      </c>
      <c r="N7" s="11">
        <v>10.0</v>
      </c>
    </row>
    <row r="8" ht="24.0" customHeight="1">
      <c r="A8" s="11" t="s">
        <v>19</v>
      </c>
      <c r="B8" s="11" t="s">
        <v>20</v>
      </c>
      <c r="C8" s="11" t="s">
        <v>21</v>
      </c>
      <c r="D8" s="12">
        <f>iferror(sumif(E8:N8,"&lt;&gt;")/sumif(E8:N8,"&lt;&gt;",E3:N3),"")</f>
        <v>0.7571428571</v>
      </c>
      <c r="E8" s="11"/>
      <c r="F8" s="11">
        <v>8.0</v>
      </c>
      <c r="G8" s="11">
        <v>0.0</v>
      </c>
      <c r="H8" s="11">
        <v>10.0</v>
      </c>
      <c r="I8" s="11">
        <v>10.0</v>
      </c>
      <c r="J8" s="11">
        <v>10.0</v>
      </c>
      <c r="K8" s="11"/>
      <c r="L8" s="11">
        <v>10.0</v>
      </c>
      <c r="M8" s="11"/>
      <c r="N8" s="11">
        <v>5.0</v>
      </c>
    </row>
    <row r="9" ht="24.0" customHeight="1">
      <c r="A9" s="11" t="s">
        <v>22</v>
      </c>
      <c r="B9" s="11" t="s">
        <v>23</v>
      </c>
      <c r="C9" s="11" t="s">
        <v>24</v>
      </c>
      <c r="D9" s="12">
        <f>iferror(sumif(E9:N9,"&lt;&gt;")/sumif(E9:N9,"&lt;&gt;",E3:N3),"")</f>
        <v>0.8571428571</v>
      </c>
      <c r="E9" s="11"/>
      <c r="F9" s="11">
        <v>7.0</v>
      </c>
      <c r="G9" s="11">
        <v>8.0</v>
      </c>
      <c r="H9" s="11">
        <v>10.0</v>
      </c>
      <c r="I9" s="11">
        <v>10.0</v>
      </c>
      <c r="J9" s="11">
        <v>10.0</v>
      </c>
      <c r="K9" s="11"/>
      <c r="L9" s="11">
        <v>10.0</v>
      </c>
      <c r="M9" s="11"/>
      <c r="N9" s="11">
        <v>5.0</v>
      </c>
    </row>
    <row r="10" ht="24.0" customHeight="1">
      <c r="A10" s="11" t="s">
        <v>25</v>
      </c>
      <c r="B10" s="11" t="s">
        <v>26</v>
      </c>
      <c r="C10" s="11" t="s">
        <v>27</v>
      </c>
      <c r="D10" s="12">
        <f>iferror(sumif(E10:N10,"&lt;&gt;")/sumif(E10:N10,"&lt;&gt;",E3:N3),"")</f>
        <v>0.725</v>
      </c>
      <c r="E10" s="11"/>
      <c r="F10" s="11">
        <v>9.0</v>
      </c>
      <c r="G10" s="11">
        <v>0.0</v>
      </c>
      <c r="H10" s="11">
        <v>10.0</v>
      </c>
      <c r="I10" s="11"/>
      <c r="J10" s="11"/>
      <c r="K10" s="11"/>
      <c r="L10" s="11">
        <v>10.0</v>
      </c>
      <c r="M10" s="11"/>
      <c r="N10" s="11"/>
    </row>
    <row r="11" ht="24.0" customHeight="1">
      <c r="A11" s="11" t="s">
        <v>28</v>
      </c>
      <c r="B11" s="11" t="s">
        <v>29</v>
      </c>
      <c r="C11" s="11" t="s">
        <v>30</v>
      </c>
      <c r="D11" s="12">
        <f>iferror(sumif(E11:N11,"&lt;&gt;")/sumif(E11:N11,"&lt;&gt;",E3:N3),"")</f>
        <v>0.9333333333</v>
      </c>
      <c r="E11" s="11"/>
      <c r="F11" s="11">
        <v>8.0</v>
      </c>
      <c r="G11" s="11">
        <v>8.0</v>
      </c>
      <c r="H11" s="11"/>
      <c r="I11" s="11">
        <v>10.0</v>
      </c>
      <c r="J11" s="11"/>
      <c r="K11" s="11"/>
      <c r="L11" s="11">
        <v>10.0</v>
      </c>
      <c r="M11" s="11">
        <v>10.0</v>
      </c>
      <c r="N11" s="11">
        <v>10.0</v>
      </c>
    </row>
    <row r="12" ht="24.0" customHeight="1">
      <c r="A12" s="11" t="s">
        <v>31</v>
      </c>
      <c r="B12" s="11" t="s">
        <v>32</v>
      </c>
      <c r="C12" s="11" t="s">
        <v>33</v>
      </c>
      <c r="D12" s="12">
        <f>iferror(sumif(E12:N12,"&lt;&gt;")/sumif(E12:N12,"&lt;&gt;",E3:N3),"")</f>
        <v>0.75</v>
      </c>
      <c r="E12" s="11"/>
      <c r="F12" s="11">
        <v>5.0</v>
      </c>
      <c r="G12" s="11"/>
      <c r="H12" s="11"/>
      <c r="I12" s="11">
        <v>10.0</v>
      </c>
      <c r="J12" s="11"/>
      <c r="K12" s="11"/>
      <c r="L12" s="11"/>
      <c r="M12" s="11"/>
      <c r="N12" s="11"/>
    </row>
    <row r="13" ht="24.0" customHeight="1">
      <c r="A13" s="11" t="s">
        <v>34</v>
      </c>
      <c r="B13" s="11" t="s">
        <v>35</v>
      </c>
      <c r="C13" s="11" t="s">
        <v>36</v>
      </c>
      <c r="D13" s="12">
        <f>iferror(sumif(E13:N13,"&lt;&gt;")/sumif(E13:N13,"&lt;&gt;",E3:N3),"")</f>
        <v>0.9666666667</v>
      </c>
      <c r="E13" s="11"/>
      <c r="F13" s="11">
        <v>8.0</v>
      </c>
      <c r="G13" s="11">
        <v>9.0</v>
      </c>
      <c r="H13" s="11">
        <v>10.0</v>
      </c>
      <c r="I13" s="11">
        <v>10.0</v>
      </c>
      <c r="J13" s="11">
        <v>10.0</v>
      </c>
      <c r="K13" s="11">
        <v>10.0</v>
      </c>
      <c r="L13" s="11">
        <v>10.0</v>
      </c>
      <c r="M13" s="11">
        <v>10.0</v>
      </c>
      <c r="N13" s="11">
        <v>10.0</v>
      </c>
    </row>
    <row r="14" ht="24.0" customHeight="1">
      <c r="A14" s="11" t="s">
        <v>37</v>
      </c>
      <c r="B14" s="11" t="s">
        <v>38</v>
      </c>
      <c r="C14" s="11" t="s">
        <v>39</v>
      </c>
      <c r="D14" s="12">
        <f>iferror(sumif(E14:N14,"&lt;&gt;")/sumif(E14:N14,"&lt;&gt;",E3:N3),"")</f>
        <v>0.95</v>
      </c>
      <c r="E14" s="11"/>
      <c r="F14" s="11">
        <v>9.0</v>
      </c>
      <c r="G14" s="11">
        <v>9.0</v>
      </c>
      <c r="H14" s="11">
        <v>10.0</v>
      </c>
      <c r="I14" s="11">
        <v>10.0</v>
      </c>
      <c r="J14" s="11"/>
      <c r="K14" s="11"/>
      <c r="L14" s="11"/>
      <c r="M14" s="11"/>
      <c r="N14" s="11"/>
    </row>
    <row r="15" ht="24.0" customHeight="1">
      <c r="A15" s="11" t="s">
        <v>40</v>
      </c>
      <c r="B15" s="11" t="s">
        <v>41</v>
      </c>
      <c r="C15" s="11" t="s">
        <v>42</v>
      </c>
      <c r="D15" s="12">
        <f>iferror(sumif(E15:N15,"&lt;&gt;")/sumif(E15:N15,"&lt;&gt;",E3:N3),"")</f>
        <v>0.9111111111</v>
      </c>
      <c r="E15" s="11"/>
      <c r="F15" s="11">
        <v>5.0</v>
      </c>
      <c r="G15" s="11">
        <v>7.0</v>
      </c>
      <c r="H15" s="11">
        <v>10.0</v>
      </c>
      <c r="I15" s="11">
        <v>10.0</v>
      </c>
      <c r="J15" s="11">
        <v>10.0</v>
      </c>
      <c r="K15" s="11">
        <v>10.0</v>
      </c>
      <c r="L15" s="11">
        <v>10.0</v>
      </c>
      <c r="M15" s="11">
        <v>10.0</v>
      </c>
      <c r="N15" s="11">
        <v>10.0</v>
      </c>
    </row>
    <row r="16" ht="24.0" customHeight="1">
      <c r="A16" s="11" t="s">
        <v>43</v>
      </c>
      <c r="B16" s="11" t="s">
        <v>44</v>
      </c>
      <c r="C16" s="11" t="s">
        <v>45</v>
      </c>
      <c r="D16" s="12">
        <f>iferror(sumif(E16:N16,"&lt;&gt;")/sumif(E16:N16,"&lt;&gt;",E3:N3),"")</f>
        <v>0.94</v>
      </c>
      <c r="E16" s="11"/>
      <c r="F16" s="11">
        <v>8.0</v>
      </c>
      <c r="G16" s="11">
        <v>9.0</v>
      </c>
      <c r="H16" s="11">
        <v>10.0</v>
      </c>
      <c r="I16" s="11">
        <v>10.0</v>
      </c>
      <c r="J16" s="11"/>
      <c r="K16" s="11"/>
      <c r="L16" s="11">
        <v>10.0</v>
      </c>
      <c r="M16" s="11"/>
      <c r="N16" s="11"/>
    </row>
    <row r="17" ht="24.0" customHeight="1">
      <c r="A17" s="11" t="s">
        <v>46</v>
      </c>
      <c r="B17" s="11" t="s">
        <v>47</v>
      </c>
      <c r="C17" s="11" t="s">
        <v>48</v>
      </c>
      <c r="D17" s="12">
        <f>iferror(sumif(E17:N17,"&lt;&gt;")/sumif(E17:N17,"&lt;&gt;",E3:N3),"")</f>
        <v>0.95</v>
      </c>
      <c r="E17" s="11"/>
      <c r="F17" s="11">
        <v>9.0</v>
      </c>
      <c r="G17" s="11">
        <v>9.0</v>
      </c>
      <c r="H17" s="11"/>
      <c r="I17" s="11">
        <v>10.0</v>
      </c>
      <c r="J17" s="11"/>
      <c r="K17" s="11"/>
      <c r="L17" s="11">
        <v>10.0</v>
      </c>
      <c r="M17" s="11"/>
      <c r="N17" s="11"/>
    </row>
    <row r="18" ht="24.0" customHeight="1">
      <c r="A18" s="11" t="s">
        <v>49</v>
      </c>
      <c r="B18" s="11" t="s">
        <v>50</v>
      </c>
      <c r="C18" s="11" t="s">
        <v>51</v>
      </c>
      <c r="D18" s="12">
        <f>iferror(sumif(E18:N18,"&lt;&gt;")/sumif(E18:N18,"&lt;&gt;",E3:N3),"")</f>
        <v>0.95</v>
      </c>
      <c r="E18" s="11"/>
      <c r="F18" s="11">
        <v>8.0</v>
      </c>
      <c r="G18" s="11">
        <v>8.0</v>
      </c>
      <c r="H18" s="11">
        <v>10.0</v>
      </c>
      <c r="I18" s="11">
        <v>10.0</v>
      </c>
      <c r="J18" s="11">
        <v>10.0</v>
      </c>
      <c r="K18" s="11">
        <v>10.0</v>
      </c>
      <c r="L18" s="11">
        <v>10.0</v>
      </c>
      <c r="M18" s="11"/>
      <c r="N18" s="11">
        <v>10.0</v>
      </c>
    </row>
    <row r="19" ht="24.0" customHeight="1">
      <c r="A19" s="11" t="s">
        <v>52</v>
      </c>
      <c r="B19" s="11" t="s">
        <v>53</v>
      </c>
      <c r="C19" s="11" t="s">
        <v>54</v>
      </c>
      <c r="D19" s="12">
        <f>iferror(sumif(E19:N19,"&lt;&gt;")/sumif(E19:N19,"&lt;&gt;",E3:N3),"")</f>
        <v>0.9</v>
      </c>
      <c r="E19" s="11"/>
      <c r="F19" s="11">
        <v>9.0</v>
      </c>
      <c r="G19" s="11">
        <v>8.0</v>
      </c>
      <c r="H19" s="11">
        <v>10.0</v>
      </c>
      <c r="I19" s="11">
        <v>10.0</v>
      </c>
      <c r="J19" s="11"/>
      <c r="K19" s="11">
        <v>10.0</v>
      </c>
      <c r="L19" s="11">
        <v>10.0</v>
      </c>
      <c r="M19" s="11">
        <v>10.0</v>
      </c>
      <c r="N19" s="11">
        <v>5.0</v>
      </c>
    </row>
    <row r="20" ht="24.0" customHeight="1">
      <c r="A20" s="11" t="s">
        <v>55</v>
      </c>
      <c r="B20" s="11" t="s">
        <v>56</v>
      </c>
      <c r="C20" s="11" t="s">
        <v>57</v>
      </c>
      <c r="D20" s="12">
        <f>iferror(sumif(E20:N20,"&lt;&gt;")/sumif(E20:N20,"&lt;&gt;",E3:N3),"")</f>
        <v>0.9428571429</v>
      </c>
      <c r="E20" s="11"/>
      <c r="F20" s="11">
        <v>8.0</v>
      </c>
      <c r="G20" s="11">
        <v>8.0</v>
      </c>
      <c r="H20" s="11"/>
      <c r="I20" s="11">
        <v>10.0</v>
      </c>
      <c r="J20" s="11">
        <v>10.0</v>
      </c>
      <c r="K20" s="11">
        <v>10.0</v>
      </c>
      <c r="L20" s="11">
        <v>10.0</v>
      </c>
      <c r="M20" s="11"/>
      <c r="N20" s="11">
        <v>10.0</v>
      </c>
    </row>
    <row r="21" ht="24.0" customHeight="1">
      <c r="A21" s="11" t="s">
        <v>58</v>
      </c>
      <c r="B21" s="11" t="s">
        <v>59</v>
      </c>
      <c r="C21" s="11" t="s">
        <v>60</v>
      </c>
      <c r="D21" s="12">
        <f>iferror(sumif(E21:N21,"&lt;&gt;")/sumif(E21:N21,"&lt;&gt;",E3:N3),"")</f>
        <v>0.925</v>
      </c>
      <c r="E21" s="11"/>
      <c r="F21" s="11">
        <v>8.0</v>
      </c>
      <c r="G21" s="11">
        <v>9.0</v>
      </c>
      <c r="H21" s="11">
        <v>10.0</v>
      </c>
      <c r="I21" s="11">
        <v>10.0</v>
      </c>
      <c r="J21" s="11"/>
      <c r="K21" s="11"/>
      <c r="L21" s="11"/>
      <c r="M21" s="11"/>
      <c r="N21" s="11"/>
    </row>
    <row r="22" ht="24.0" customHeight="1">
      <c r="A22" s="11" t="s">
        <v>61</v>
      </c>
      <c r="B22" s="11" t="s">
        <v>62</v>
      </c>
      <c r="C22" s="11" t="s">
        <v>63</v>
      </c>
      <c r="D22" s="12">
        <f>iferror(sumif(E22:N22,"&lt;&gt;")/sumif(E22:N22,"&lt;&gt;",E3:N3),"")</f>
        <v>0.975</v>
      </c>
      <c r="E22" s="11"/>
      <c r="F22" s="11">
        <v>10.0</v>
      </c>
      <c r="G22" s="11">
        <v>8.0</v>
      </c>
      <c r="H22" s="11">
        <v>10.0</v>
      </c>
      <c r="I22" s="11">
        <v>10.0</v>
      </c>
      <c r="J22" s="11"/>
      <c r="K22" s="11">
        <v>10.0</v>
      </c>
      <c r="L22" s="11">
        <v>10.0</v>
      </c>
      <c r="M22" s="11">
        <v>10.0</v>
      </c>
      <c r="N22" s="11">
        <v>10.0</v>
      </c>
    </row>
    <row r="23" ht="24.0" customHeight="1"/>
    <row r="24" ht="24.0" customHeight="1"/>
    <row r="25" ht="24.0" customHeight="1"/>
    <row r="26" ht="24.0" customHeight="1"/>
    <row r="27" ht="24.0" customHeight="1"/>
    <row r="28" ht="24.0" customHeight="1"/>
    <row r="29" ht="24.0" customHeight="1"/>
    <row r="30" ht="24.0" customHeight="1"/>
    <row r="31" ht="24.0" customHeight="1"/>
    <row r="32" ht="24.0" customHeight="1"/>
    <row r="33" ht="24.0" customHeight="1"/>
    <row r="34" ht="24.0" customHeight="1"/>
    <row r="35" ht="24.0" customHeight="1"/>
    <row r="36" ht="24.0" customHeight="1"/>
    <row r="37" ht="24.0" customHeight="1"/>
    <row r="38" ht="24.0" customHeight="1"/>
    <row r="39" ht="24.0" customHeight="1"/>
    <row r="40" ht="24.0" customHeight="1"/>
    <row r="41" ht="24.0" customHeight="1"/>
    <row r="42" ht="24.0" customHeight="1"/>
    <row r="43" ht="24.0" customHeight="1"/>
    <row r="44" ht="24.0" customHeight="1"/>
    <row r="45" ht="24.0" customHeight="1"/>
    <row r="46" ht="24.0" customHeight="1"/>
    <row r="47" ht="24.0" customHeight="1"/>
    <row r="48" ht="24.0" customHeight="1"/>
    <row r="49" ht="24.0" customHeight="1"/>
    <row r="50" ht="24.0" customHeight="1"/>
    <row r="51" ht="24.0" customHeight="1"/>
    <row r="52" ht="24.0" customHeight="1"/>
    <row r="53" ht="24.0" customHeight="1"/>
    <row r="54" ht="24.0" customHeight="1"/>
    <row r="55" ht="24.0" customHeight="1"/>
    <row r="56" ht="24.0" customHeight="1"/>
    <row r="57" ht="24.0" customHeight="1"/>
    <row r="58" ht="24.0" customHeight="1"/>
    <row r="59" ht="24.0" customHeight="1"/>
    <row r="60" ht="24.0" customHeight="1"/>
    <row r="61" ht="24.0" customHeight="1"/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printOptions/>
  <pageMargins bottom="0.75" footer="0.0" header="0.0" left="0.7" right="0.7" top="0.75"/>
  <pageSetup orientation="landscape"/>
  <drawing r:id="rId1"/>
</worksheet>
</file>